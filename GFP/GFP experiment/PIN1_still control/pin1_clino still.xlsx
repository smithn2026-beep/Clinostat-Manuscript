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atmailohio-my.sharepoint.com/personal/ns701622_ohio_edu/Documents/literally everything/Thesis/GFP experiment/PIN1_still control/"/>
    </mc:Choice>
  </mc:AlternateContent>
  <xr:revisionPtr revIDLastSave="510" documentId="11_F25DC773A252ABDACC104854419F739E5ADE58EF" xr6:coauthVersionLast="47" xr6:coauthVersionMax="47" xr10:uidLastSave="{6BD96953-B743-4A31-AE99-535109A815E9}"/>
  <bookViews>
    <workbookView xWindow="-108" yWindow="-108" windowWidth="23256" windowHeight="12456" activeTab="2" xr2:uid="{00000000-000D-0000-FFFF-FFFF00000000}"/>
  </bookViews>
  <sheets>
    <sheet name="raw_con" sheetId="2" r:id="rId1"/>
    <sheet name="raw_b3a" sheetId="3" r:id="rId2"/>
    <sheet name="data_analysis" sheetId="4" r:id="rId3"/>
    <sheet name="old_data_old_method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4" l="1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B23" i="4"/>
  <c r="D10" i="4"/>
  <c r="D20" i="4"/>
  <c r="C20" i="4"/>
  <c r="D19" i="4"/>
  <c r="D18" i="4"/>
  <c r="D17" i="4"/>
  <c r="D16" i="4"/>
  <c r="D15" i="4"/>
  <c r="D14" i="4"/>
  <c r="D13" i="4"/>
  <c r="D12" i="4"/>
  <c r="D11" i="4"/>
  <c r="D9" i="4"/>
  <c r="D8" i="4"/>
  <c r="D7" i="4"/>
  <c r="D6" i="4"/>
  <c r="C7" i="4"/>
  <c r="C19" i="4"/>
  <c r="C18" i="4"/>
  <c r="C17" i="4"/>
  <c r="C16" i="4"/>
  <c r="C15" i="4"/>
  <c r="C14" i="4"/>
  <c r="C13" i="4"/>
  <c r="C12" i="4"/>
  <c r="C11" i="4"/>
  <c r="C10" i="4"/>
  <c r="C9" i="4"/>
  <c r="C6" i="4"/>
  <c r="C8" i="4"/>
  <c r="F5" i="4"/>
  <c r="E5" i="4"/>
  <c r="D5" i="4"/>
  <c r="C5" i="4"/>
  <c r="F4" i="4"/>
  <c r="E4" i="4"/>
  <c r="D4" i="4"/>
  <c r="C4" i="4"/>
  <c r="F3" i="4"/>
  <c r="E3" i="4"/>
  <c r="D3" i="4"/>
  <c r="C3" i="4"/>
  <c r="F2" i="4"/>
  <c r="E2" i="4"/>
  <c r="D2" i="4"/>
  <c r="C2" i="4"/>
  <c r="G13" i="1"/>
  <c r="I13" i="1" s="1"/>
  <c r="I4" i="1"/>
  <c r="I6" i="1"/>
  <c r="I8" i="1"/>
  <c r="I9" i="1"/>
  <c r="I16" i="1"/>
  <c r="I3" i="1"/>
  <c r="G15" i="1"/>
  <c r="I15" i="1" s="1"/>
  <c r="G14" i="1"/>
  <c r="H12" i="1"/>
  <c r="I12" i="1" s="1"/>
  <c r="H11" i="1"/>
  <c r="I11" i="1" s="1"/>
  <c r="H10" i="1"/>
  <c r="I10" i="1" s="1"/>
  <c r="H7" i="1"/>
  <c r="I7" i="1" s="1"/>
  <c r="H5" i="1"/>
  <c r="I5" i="1" s="1"/>
  <c r="C20" i="1"/>
  <c r="D20" i="1" s="1"/>
  <c r="B19" i="1"/>
  <c r="B22" i="1" s="1"/>
  <c r="C14" i="1"/>
  <c r="D14" i="1" s="1"/>
  <c r="C13" i="1"/>
  <c r="D13" i="1" s="1"/>
  <c r="C11" i="1"/>
  <c r="D11" i="1" s="1"/>
  <c r="D4" i="1"/>
  <c r="D7" i="1"/>
  <c r="D8" i="1"/>
  <c r="D9" i="1"/>
  <c r="D10" i="1"/>
  <c r="D12" i="1"/>
  <c r="D15" i="1"/>
  <c r="D16" i="1"/>
  <c r="D17" i="1"/>
  <c r="D18" i="1"/>
  <c r="C6" i="1"/>
  <c r="D6" i="1" s="1"/>
  <c r="C5" i="1"/>
  <c r="D5" i="1" s="1"/>
  <c r="C3" i="1"/>
  <c r="D3" i="1" s="1"/>
  <c r="F22" i="4" l="1"/>
  <c r="E22" i="4"/>
  <c r="D22" i="4"/>
  <c r="C22" i="4"/>
  <c r="G18" i="1"/>
  <c r="I14" i="1"/>
  <c r="H18" i="1"/>
  <c r="I21" i="1" s="1"/>
  <c r="I19" i="1"/>
  <c r="D19" i="1"/>
  <c r="D22" i="1" s="1"/>
  <c r="C22" i="1"/>
  <c r="D24" i="1" s="1"/>
</calcChain>
</file>

<file path=xl/sharedStrings.xml><?xml version="1.0" encoding="utf-8"?>
<sst xmlns="http://schemas.openxmlformats.org/spreadsheetml/2006/main" count="125" uniqueCount="16">
  <si>
    <t>Control</t>
  </si>
  <si>
    <t>Bacteria</t>
  </si>
  <si>
    <t>Image_ID</t>
  </si>
  <si>
    <t>L (area under curve)</t>
  </si>
  <si>
    <t>R</t>
  </si>
  <si>
    <t>ratio</t>
  </si>
  <si>
    <t>L</t>
  </si>
  <si>
    <t>AVG</t>
  </si>
  <si>
    <t>ratio of avgs</t>
  </si>
  <si>
    <t>L AVG</t>
  </si>
  <si>
    <t>L SUM</t>
  </si>
  <si>
    <t>R AVG</t>
  </si>
  <si>
    <t>R SUM</t>
  </si>
  <si>
    <t xml:space="preserve">B3A </t>
  </si>
  <si>
    <t>n</t>
  </si>
  <si>
    <t>AVGs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</si>
</sst>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32A9-CF19-4AF6-BE3A-D049234C3689}">
  <dimension ref="A1:DI92"/>
  <sheetViews>
    <sheetView topLeftCell="CQ52" workbookViewId="0">
      <selection activeCell="CS39" sqref="CS39"/>
    </sheetView>
  </sheetViews>
  <sheetFormatPr defaultRowHeight="14.4" x14ac:dyDescent="0.3"/>
  <sheetData>
    <row r="1" spans="1:113" x14ac:dyDescent="0.3">
      <c r="A1" t="s">
        <v>2</v>
      </c>
      <c r="C1" t="s">
        <v>6</v>
      </c>
      <c r="E1" t="s">
        <v>4</v>
      </c>
      <c r="G1" t="s">
        <v>2</v>
      </c>
      <c r="I1" t="s">
        <v>6</v>
      </c>
      <c r="K1" t="s">
        <v>4</v>
      </c>
      <c r="M1" t="s">
        <v>2</v>
      </c>
      <c r="O1" t="s">
        <v>6</v>
      </c>
      <c r="Q1" t="s">
        <v>4</v>
      </c>
      <c r="S1" t="s">
        <v>2</v>
      </c>
      <c r="U1" t="s">
        <v>6</v>
      </c>
      <c r="W1" t="s">
        <v>4</v>
      </c>
      <c r="Y1" t="s">
        <v>2</v>
      </c>
      <c r="AA1" t="s">
        <v>6</v>
      </c>
      <c r="AC1" t="s">
        <v>4</v>
      </c>
      <c r="AE1" t="s">
        <v>2</v>
      </c>
      <c r="AG1" t="s">
        <v>6</v>
      </c>
      <c r="AI1" t="s">
        <v>4</v>
      </c>
      <c r="AK1" t="s">
        <v>2</v>
      </c>
      <c r="AM1" t="s">
        <v>6</v>
      </c>
      <c r="AO1" t="s">
        <v>4</v>
      </c>
      <c r="AQ1" t="s">
        <v>2</v>
      </c>
      <c r="AS1" t="s">
        <v>6</v>
      </c>
      <c r="AU1" t="s">
        <v>4</v>
      </c>
      <c r="AW1" t="s">
        <v>2</v>
      </c>
      <c r="AY1" t="s">
        <v>6</v>
      </c>
      <c r="BA1" t="s">
        <v>4</v>
      </c>
      <c r="BC1" t="s">
        <v>2</v>
      </c>
      <c r="BE1" t="s">
        <v>6</v>
      </c>
      <c r="BG1" t="s">
        <v>4</v>
      </c>
      <c r="BI1" t="s">
        <v>2</v>
      </c>
      <c r="BK1" t="s">
        <v>6</v>
      </c>
      <c r="BM1" t="s">
        <v>4</v>
      </c>
      <c r="BO1" t="s">
        <v>2</v>
      </c>
      <c r="BQ1" t="s">
        <v>6</v>
      </c>
      <c r="BS1" t="s">
        <v>4</v>
      </c>
      <c r="BU1" t="s">
        <v>2</v>
      </c>
      <c r="BW1" t="s">
        <v>6</v>
      </c>
      <c r="BY1" t="s">
        <v>4</v>
      </c>
      <c r="CA1" t="s">
        <v>2</v>
      </c>
      <c r="CC1" t="s">
        <v>6</v>
      </c>
      <c r="CE1" t="s">
        <v>4</v>
      </c>
      <c r="CG1" t="s">
        <v>2</v>
      </c>
      <c r="CI1" t="s">
        <v>6</v>
      </c>
      <c r="CK1" t="s">
        <v>4</v>
      </c>
      <c r="CM1" t="s">
        <v>2</v>
      </c>
      <c r="CO1" t="s">
        <v>6</v>
      </c>
      <c r="CQ1" t="s">
        <v>4</v>
      </c>
      <c r="CS1" t="s">
        <v>2</v>
      </c>
      <c r="CU1" t="s">
        <v>6</v>
      </c>
      <c r="CW1" t="s">
        <v>4</v>
      </c>
      <c r="CY1" t="s">
        <v>2</v>
      </c>
      <c r="DA1" t="s">
        <v>6</v>
      </c>
      <c r="DC1" t="s">
        <v>4</v>
      </c>
      <c r="DE1" t="s">
        <v>2</v>
      </c>
      <c r="DG1" t="s">
        <v>6</v>
      </c>
      <c r="DI1" t="s">
        <v>4</v>
      </c>
    </row>
    <row r="2" spans="1:113" x14ac:dyDescent="0.3">
      <c r="A2">
        <v>1580</v>
      </c>
      <c r="B2">
        <v>0</v>
      </c>
      <c r="C2">
        <v>32.1053</v>
      </c>
      <c r="D2">
        <v>80</v>
      </c>
      <c r="E2">
        <v>98.736800000000002</v>
      </c>
      <c r="G2">
        <v>1581</v>
      </c>
      <c r="H2">
        <v>0</v>
      </c>
      <c r="I2">
        <v>28.4</v>
      </c>
      <c r="J2">
        <v>57</v>
      </c>
      <c r="K2">
        <v>105.8</v>
      </c>
      <c r="M2">
        <v>1582</v>
      </c>
      <c r="N2">
        <v>0</v>
      </c>
      <c r="O2">
        <v>24.382400000000001</v>
      </c>
      <c r="P2">
        <v>72</v>
      </c>
      <c r="Q2">
        <v>99.852900000000005</v>
      </c>
      <c r="S2">
        <v>1583</v>
      </c>
      <c r="T2">
        <v>0</v>
      </c>
      <c r="U2">
        <v>30.291699999999999</v>
      </c>
      <c r="V2">
        <v>62</v>
      </c>
      <c r="W2">
        <v>105.58329999999999</v>
      </c>
      <c r="Y2">
        <v>1585</v>
      </c>
      <c r="Z2">
        <v>0</v>
      </c>
      <c r="AA2">
        <v>22.678599999999999</v>
      </c>
      <c r="AB2">
        <v>70</v>
      </c>
      <c r="AC2">
        <v>101.6429</v>
      </c>
      <c r="AE2">
        <v>1586</v>
      </c>
      <c r="AF2">
        <v>0</v>
      </c>
      <c r="AG2">
        <v>26.535699999999999</v>
      </c>
      <c r="AH2">
        <v>67</v>
      </c>
      <c r="AI2">
        <v>104</v>
      </c>
      <c r="AK2">
        <v>1587</v>
      </c>
      <c r="AL2">
        <v>0</v>
      </c>
      <c r="AM2">
        <v>28.6</v>
      </c>
      <c r="AN2">
        <v>72</v>
      </c>
      <c r="AO2">
        <v>96.3</v>
      </c>
      <c r="AQ2">
        <v>1588</v>
      </c>
      <c r="AR2">
        <v>0</v>
      </c>
      <c r="AS2">
        <v>26.103400000000001</v>
      </c>
      <c r="AT2">
        <v>54</v>
      </c>
      <c r="AU2">
        <v>88.586200000000005</v>
      </c>
      <c r="AW2">
        <v>1589</v>
      </c>
      <c r="AX2">
        <v>0</v>
      </c>
      <c r="AY2">
        <v>19.083300000000001</v>
      </c>
      <c r="AZ2">
        <v>69</v>
      </c>
      <c r="BA2">
        <v>67.75</v>
      </c>
      <c r="BC2">
        <v>1590</v>
      </c>
      <c r="BD2">
        <v>0</v>
      </c>
      <c r="BE2">
        <v>24.218800000000002</v>
      </c>
      <c r="BF2">
        <v>55</v>
      </c>
      <c r="BG2">
        <v>97.718800000000002</v>
      </c>
      <c r="BI2">
        <v>1591</v>
      </c>
      <c r="BJ2">
        <v>0</v>
      </c>
      <c r="BK2">
        <v>29.1</v>
      </c>
      <c r="BL2">
        <v>61</v>
      </c>
      <c r="BM2">
        <v>70.8</v>
      </c>
      <c r="BO2">
        <v>1592</v>
      </c>
      <c r="BP2">
        <v>0</v>
      </c>
      <c r="BQ2">
        <v>30.241399999999999</v>
      </c>
      <c r="BR2">
        <v>58</v>
      </c>
      <c r="BS2">
        <v>100.27589999999999</v>
      </c>
      <c r="BU2">
        <v>1593</v>
      </c>
      <c r="BV2">
        <v>0</v>
      </c>
      <c r="BW2">
        <v>26.636399999999998</v>
      </c>
      <c r="BX2">
        <v>67</v>
      </c>
      <c r="BY2">
        <v>100.4242</v>
      </c>
      <c r="CA2">
        <v>1594</v>
      </c>
      <c r="CB2">
        <v>0</v>
      </c>
      <c r="CC2">
        <v>14.9697</v>
      </c>
      <c r="CD2">
        <v>75</v>
      </c>
      <c r="CE2">
        <v>100.33329999999999</v>
      </c>
      <c r="CG2">
        <v>1596</v>
      </c>
      <c r="CH2">
        <v>0</v>
      </c>
      <c r="CI2">
        <v>28.027799999999999</v>
      </c>
      <c r="CJ2">
        <v>77</v>
      </c>
      <c r="CK2">
        <v>90.666700000000006</v>
      </c>
      <c r="CM2">
        <v>1597</v>
      </c>
      <c r="CN2">
        <v>0</v>
      </c>
      <c r="CO2">
        <v>25.2821</v>
      </c>
      <c r="CP2">
        <v>68</v>
      </c>
      <c r="CQ2">
        <v>95.2821</v>
      </c>
      <c r="CS2">
        <v>1598</v>
      </c>
      <c r="CT2">
        <v>0</v>
      </c>
      <c r="CU2">
        <v>28.4</v>
      </c>
      <c r="CV2">
        <v>70</v>
      </c>
      <c r="CW2">
        <v>82.828599999999994</v>
      </c>
      <c r="CY2">
        <v>1599</v>
      </c>
      <c r="CZ2">
        <v>0</v>
      </c>
      <c r="DA2">
        <v>20.9756</v>
      </c>
      <c r="DB2">
        <v>91</v>
      </c>
      <c r="DC2">
        <v>104.0732</v>
      </c>
      <c r="DE2">
        <v>1600</v>
      </c>
      <c r="DF2">
        <v>0</v>
      </c>
      <c r="DG2">
        <v>15.533300000000001</v>
      </c>
      <c r="DH2">
        <v>77</v>
      </c>
      <c r="DI2">
        <v>103.7556</v>
      </c>
    </row>
    <row r="3" spans="1:113" x14ac:dyDescent="0.3">
      <c r="B3">
        <v>1</v>
      </c>
      <c r="C3">
        <v>32.421100000000003</v>
      </c>
      <c r="D3">
        <v>81</v>
      </c>
      <c r="E3">
        <v>98.5</v>
      </c>
      <c r="H3">
        <v>1</v>
      </c>
      <c r="I3">
        <v>28.366700000000002</v>
      </c>
      <c r="J3">
        <v>58</v>
      </c>
      <c r="K3">
        <v>104.4667</v>
      </c>
      <c r="N3">
        <v>1</v>
      </c>
      <c r="O3">
        <v>24.882400000000001</v>
      </c>
      <c r="P3">
        <v>73</v>
      </c>
      <c r="Q3">
        <v>100.2059</v>
      </c>
      <c r="T3">
        <v>1</v>
      </c>
      <c r="U3">
        <v>31.041699999999999</v>
      </c>
      <c r="V3">
        <v>63</v>
      </c>
      <c r="W3">
        <v>104.79170000000001</v>
      </c>
      <c r="Z3">
        <v>1</v>
      </c>
      <c r="AA3">
        <v>23.607099999999999</v>
      </c>
      <c r="AB3">
        <v>71</v>
      </c>
      <c r="AC3">
        <v>102.28570000000001</v>
      </c>
      <c r="AF3">
        <v>1</v>
      </c>
      <c r="AG3">
        <v>26.892900000000001</v>
      </c>
      <c r="AH3">
        <v>68</v>
      </c>
      <c r="AI3">
        <v>103.96429999999999</v>
      </c>
      <c r="AL3">
        <v>1</v>
      </c>
      <c r="AM3">
        <v>29.3</v>
      </c>
      <c r="AN3">
        <v>73</v>
      </c>
      <c r="AO3">
        <v>96.7333</v>
      </c>
      <c r="AR3">
        <v>1</v>
      </c>
      <c r="AS3">
        <v>26.758600000000001</v>
      </c>
      <c r="AT3">
        <v>55</v>
      </c>
      <c r="AU3">
        <v>88.758600000000001</v>
      </c>
      <c r="AX3">
        <v>1</v>
      </c>
      <c r="AY3">
        <v>19.416699999999999</v>
      </c>
      <c r="AZ3">
        <v>70</v>
      </c>
      <c r="BA3">
        <v>68.375</v>
      </c>
      <c r="BD3">
        <v>1</v>
      </c>
      <c r="BE3">
        <v>27.281199999999998</v>
      </c>
      <c r="BF3">
        <v>56</v>
      </c>
      <c r="BG3">
        <v>97.593800000000002</v>
      </c>
      <c r="BJ3">
        <v>1</v>
      </c>
      <c r="BK3">
        <v>29.5</v>
      </c>
      <c r="BL3">
        <v>62</v>
      </c>
      <c r="BM3">
        <v>70.150000000000006</v>
      </c>
      <c r="BP3">
        <v>1</v>
      </c>
      <c r="BQ3">
        <v>31.103400000000001</v>
      </c>
      <c r="BR3">
        <v>59</v>
      </c>
      <c r="BS3">
        <v>100.72410000000001</v>
      </c>
      <c r="BV3">
        <v>1</v>
      </c>
      <c r="BW3">
        <v>27.696999999999999</v>
      </c>
      <c r="BX3">
        <v>68</v>
      </c>
      <c r="BY3">
        <v>99</v>
      </c>
      <c r="CB3">
        <v>1</v>
      </c>
      <c r="CC3">
        <v>17.181799999999999</v>
      </c>
      <c r="CD3">
        <v>76</v>
      </c>
      <c r="CE3">
        <v>100.0303</v>
      </c>
      <c r="CH3">
        <v>1</v>
      </c>
      <c r="CI3">
        <v>28.527799999999999</v>
      </c>
      <c r="CJ3">
        <v>78</v>
      </c>
      <c r="CK3">
        <v>90.194400000000002</v>
      </c>
      <c r="CN3">
        <v>1</v>
      </c>
      <c r="CO3">
        <v>25.7179</v>
      </c>
      <c r="CP3">
        <v>69</v>
      </c>
      <c r="CQ3">
        <v>95.615399999999994</v>
      </c>
      <c r="CT3">
        <v>1</v>
      </c>
      <c r="CU3">
        <v>28.742899999999999</v>
      </c>
      <c r="CV3">
        <v>71</v>
      </c>
      <c r="CW3">
        <v>82.8857</v>
      </c>
      <c r="CZ3">
        <v>1</v>
      </c>
      <c r="DA3">
        <v>22.2195</v>
      </c>
      <c r="DB3">
        <v>92</v>
      </c>
      <c r="DC3">
        <v>104.53660000000001</v>
      </c>
      <c r="DF3">
        <v>1</v>
      </c>
      <c r="DG3">
        <v>15.622199999999999</v>
      </c>
      <c r="DH3">
        <v>78</v>
      </c>
      <c r="DI3">
        <v>103.62220000000001</v>
      </c>
    </row>
    <row r="4" spans="1:113" x14ac:dyDescent="0.3">
      <c r="B4">
        <v>2</v>
      </c>
      <c r="C4">
        <v>33.473700000000001</v>
      </c>
      <c r="D4">
        <v>82</v>
      </c>
      <c r="E4">
        <v>98.368399999999994</v>
      </c>
      <c r="H4">
        <v>2</v>
      </c>
      <c r="I4">
        <v>28.2</v>
      </c>
      <c r="J4">
        <v>59</v>
      </c>
      <c r="K4">
        <v>102.3</v>
      </c>
      <c r="N4">
        <v>2</v>
      </c>
      <c r="O4">
        <v>25.588200000000001</v>
      </c>
      <c r="P4">
        <v>74</v>
      </c>
      <c r="Q4">
        <v>99.970600000000005</v>
      </c>
      <c r="T4">
        <v>2</v>
      </c>
      <c r="U4">
        <v>32.541699999999999</v>
      </c>
      <c r="V4">
        <v>64</v>
      </c>
      <c r="W4">
        <v>103.20829999999999</v>
      </c>
      <c r="Z4">
        <v>2</v>
      </c>
      <c r="AA4">
        <v>25.035699999999999</v>
      </c>
      <c r="AB4">
        <v>72</v>
      </c>
      <c r="AC4">
        <v>102.5</v>
      </c>
      <c r="AF4">
        <v>2</v>
      </c>
      <c r="AG4">
        <v>27.178599999999999</v>
      </c>
      <c r="AH4">
        <v>69</v>
      </c>
      <c r="AI4">
        <v>104.1071</v>
      </c>
      <c r="AL4">
        <v>2</v>
      </c>
      <c r="AM4">
        <v>29.7</v>
      </c>
      <c r="AN4">
        <v>74</v>
      </c>
      <c r="AO4">
        <v>96.7333</v>
      </c>
      <c r="AR4">
        <v>2</v>
      </c>
      <c r="AS4">
        <v>27.482800000000001</v>
      </c>
      <c r="AT4">
        <v>56</v>
      </c>
      <c r="AU4">
        <v>88.827600000000004</v>
      </c>
      <c r="AX4">
        <v>2</v>
      </c>
      <c r="AY4">
        <v>20.375</v>
      </c>
      <c r="AZ4">
        <v>71</v>
      </c>
      <c r="BA4">
        <v>68.958299999999994</v>
      </c>
      <c r="BD4">
        <v>2</v>
      </c>
      <c r="BE4">
        <v>31.718800000000002</v>
      </c>
      <c r="BF4">
        <v>57</v>
      </c>
      <c r="BG4">
        <v>97.1875</v>
      </c>
      <c r="BJ4">
        <v>2</v>
      </c>
      <c r="BK4">
        <v>30.35</v>
      </c>
      <c r="BL4">
        <v>63</v>
      </c>
      <c r="BM4">
        <v>70.099999999999994</v>
      </c>
      <c r="BP4">
        <v>2</v>
      </c>
      <c r="BQ4">
        <v>32.103400000000001</v>
      </c>
      <c r="BR4">
        <v>60</v>
      </c>
      <c r="BS4">
        <v>101.27589999999999</v>
      </c>
      <c r="BV4">
        <v>2</v>
      </c>
      <c r="BW4">
        <v>29.0303</v>
      </c>
      <c r="BX4">
        <v>69</v>
      </c>
      <c r="BY4">
        <v>97.818200000000004</v>
      </c>
      <c r="CB4">
        <v>2</v>
      </c>
      <c r="CC4">
        <v>19.454499999999999</v>
      </c>
      <c r="CD4">
        <v>77</v>
      </c>
      <c r="CE4">
        <v>98.181799999999996</v>
      </c>
      <c r="CH4">
        <v>2</v>
      </c>
      <c r="CI4">
        <v>29.25</v>
      </c>
      <c r="CJ4">
        <v>79</v>
      </c>
      <c r="CK4">
        <v>89.888900000000007</v>
      </c>
      <c r="CN4">
        <v>2</v>
      </c>
      <c r="CO4">
        <v>26.8462</v>
      </c>
      <c r="CP4">
        <v>70</v>
      </c>
      <c r="CQ4">
        <v>95.974400000000003</v>
      </c>
      <c r="CT4">
        <v>2</v>
      </c>
      <c r="CU4">
        <v>29.142900000000001</v>
      </c>
      <c r="CV4">
        <v>72</v>
      </c>
      <c r="CW4">
        <v>83.085700000000003</v>
      </c>
      <c r="CZ4">
        <v>2</v>
      </c>
      <c r="DA4">
        <v>23.2683</v>
      </c>
      <c r="DB4">
        <v>93</v>
      </c>
      <c r="DC4">
        <v>105.53660000000001</v>
      </c>
      <c r="DF4">
        <v>2</v>
      </c>
      <c r="DG4">
        <v>16.244399999999999</v>
      </c>
      <c r="DH4">
        <v>79</v>
      </c>
      <c r="DI4">
        <v>103.0222</v>
      </c>
    </row>
    <row r="5" spans="1:113" x14ac:dyDescent="0.3">
      <c r="B5">
        <v>3</v>
      </c>
      <c r="C5">
        <v>34.473700000000001</v>
      </c>
      <c r="D5">
        <v>83</v>
      </c>
      <c r="E5">
        <v>97.631600000000006</v>
      </c>
      <c r="H5">
        <v>3</v>
      </c>
      <c r="I5">
        <v>28.5</v>
      </c>
      <c r="J5">
        <v>60</v>
      </c>
      <c r="K5">
        <v>98.666700000000006</v>
      </c>
      <c r="N5">
        <v>3</v>
      </c>
      <c r="O5">
        <v>26.235299999999999</v>
      </c>
      <c r="P5">
        <v>75</v>
      </c>
      <c r="Q5">
        <v>99.058800000000005</v>
      </c>
      <c r="T5">
        <v>3</v>
      </c>
      <c r="U5">
        <v>34</v>
      </c>
      <c r="V5">
        <v>65</v>
      </c>
      <c r="W5">
        <v>102.04170000000001</v>
      </c>
      <c r="Z5">
        <v>3</v>
      </c>
      <c r="AA5">
        <v>26.428599999999999</v>
      </c>
      <c r="AB5">
        <v>73</v>
      </c>
      <c r="AC5">
        <v>102.1786</v>
      </c>
      <c r="AF5">
        <v>3</v>
      </c>
      <c r="AG5">
        <v>27.607099999999999</v>
      </c>
      <c r="AH5">
        <v>70</v>
      </c>
      <c r="AI5">
        <v>104.0714</v>
      </c>
      <c r="AL5">
        <v>3</v>
      </c>
      <c r="AM5">
        <v>29.833300000000001</v>
      </c>
      <c r="AN5">
        <v>75</v>
      </c>
      <c r="AO5">
        <v>96.966700000000003</v>
      </c>
      <c r="AR5">
        <v>3</v>
      </c>
      <c r="AS5">
        <v>27.5517</v>
      </c>
      <c r="AT5">
        <v>57</v>
      </c>
      <c r="AU5">
        <v>88.448300000000003</v>
      </c>
      <c r="AX5">
        <v>3</v>
      </c>
      <c r="AY5">
        <v>21.416699999999999</v>
      </c>
      <c r="AZ5">
        <v>72</v>
      </c>
      <c r="BA5">
        <v>69.5</v>
      </c>
      <c r="BD5">
        <v>3</v>
      </c>
      <c r="BE5">
        <v>36.4375</v>
      </c>
      <c r="BF5">
        <v>58</v>
      </c>
      <c r="BG5">
        <v>96.6875</v>
      </c>
      <c r="BJ5">
        <v>3</v>
      </c>
      <c r="BK5">
        <v>31.7</v>
      </c>
      <c r="BL5">
        <v>64</v>
      </c>
      <c r="BM5">
        <v>70.3</v>
      </c>
      <c r="BP5">
        <v>3</v>
      </c>
      <c r="BQ5">
        <v>32.551699999999997</v>
      </c>
      <c r="BR5">
        <v>61</v>
      </c>
      <c r="BS5">
        <v>100.8621</v>
      </c>
      <c r="BV5">
        <v>3</v>
      </c>
      <c r="BW5">
        <v>30.060600000000001</v>
      </c>
      <c r="BX5">
        <v>70</v>
      </c>
      <c r="BY5">
        <v>96.878799999999998</v>
      </c>
      <c r="CB5">
        <v>3</v>
      </c>
      <c r="CC5">
        <v>20.818200000000001</v>
      </c>
      <c r="CD5">
        <v>78</v>
      </c>
      <c r="CE5">
        <v>95.878799999999998</v>
      </c>
      <c r="CH5">
        <v>3</v>
      </c>
      <c r="CI5">
        <v>29.972200000000001</v>
      </c>
      <c r="CJ5">
        <v>80</v>
      </c>
      <c r="CK5">
        <v>89.527799999999999</v>
      </c>
      <c r="CN5">
        <v>3</v>
      </c>
      <c r="CO5">
        <v>27.512799999999999</v>
      </c>
      <c r="CP5">
        <v>71</v>
      </c>
      <c r="CQ5">
        <v>95.487200000000001</v>
      </c>
      <c r="CT5">
        <v>3</v>
      </c>
      <c r="CU5">
        <v>29.628599999999999</v>
      </c>
      <c r="CV5">
        <v>73</v>
      </c>
      <c r="CW5">
        <v>83.428600000000003</v>
      </c>
      <c r="CZ5">
        <v>3</v>
      </c>
      <c r="DA5">
        <v>23.5366</v>
      </c>
      <c r="DB5">
        <v>94</v>
      </c>
      <c r="DC5">
        <v>107.0732</v>
      </c>
      <c r="DF5">
        <v>3</v>
      </c>
      <c r="DG5">
        <v>17.222200000000001</v>
      </c>
      <c r="DH5">
        <v>80</v>
      </c>
      <c r="DI5">
        <v>102.11109999999999</v>
      </c>
    </row>
    <row r="6" spans="1:113" x14ac:dyDescent="0.3">
      <c r="B6">
        <v>4</v>
      </c>
      <c r="C6">
        <v>35.342100000000002</v>
      </c>
      <c r="D6">
        <v>84</v>
      </c>
      <c r="E6">
        <v>96.842100000000002</v>
      </c>
      <c r="H6">
        <v>4</v>
      </c>
      <c r="I6">
        <v>28.9</v>
      </c>
      <c r="J6">
        <v>61</v>
      </c>
      <c r="K6">
        <v>96.5</v>
      </c>
      <c r="N6">
        <v>4</v>
      </c>
      <c r="O6">
        <v>26.823499999999999</v>
      </c>
      <c r="P6">
        <v>76</v>
      </c>
      <c r="Q6">
        <v>97.911799999999999</v>
      </c>
      <c r="T6">
        <v>4</v>
      </c>
      <c r="U6">
        <v>34.458300000000001</v>
      </c>
      <c r="V6">
        <v>66</v>
      </c>
      <c r="W6">
        <v>101</v>
      </c>
      <c r="Z6">
        <v>4</v>
      </c>
      <c r="AA6">
        <v>27.321400000000001</v>
      </c>
      <c r="AB6">
        <v>74</v>
      </c>
      <c r="AC6">
        <v>101.71429999999999</v>
      </c>
      <c r="AF6">
        <v>4</v>
      </c>
      <c r="AG6">
        <v>28.678599999999999</v>
      </c>
      <c r="AH6">
        <v>71</v>
      </c>
      <c r="AI6">
        <v>103.6786</v>
      </c>
      <c r="AL6">
        <v>4</v>
      </c>
      <c r="AM6">
        <v>30.033300000000001</v>
      </c>
      <c r="AN6">
        <v>76</v>
      </c>
      <c r="AO6">
        <v>97.566699999999997</v>
      </c>
      <c r="AR6">
        <v>4</v>
      </c>
      <c r="AS6">
        <v>27.8276</v>
      </c>
      <c r="AT6">
        <v>58</v>
      </c>
      <c r="AU6">
        <v>87.965500000000006</v>
      </c>
      <c r="AX6">
        <v>4</v>
      </c>
      <c r="AY6">
        <v>21.916699999999999</v>
      </c>
      <c r="AZ6">
        <v>73</v>
      </c>
      <c r="BA6">
        <v>70.375</v>
      </c>
      <c r="BD6">
        <v>4</v>
      </c>
      <c r="BE6">
        <v>44.75</v>
      </c>
      <c r="BF6">
        <v>59</v>
      </c>
      <c r="BG6">
        <v>96</v>
      </c>
      <c r="BJ6">
        <v>4</v>
      </c>
      <c r="BK6">
        <v>32.1</v>
      </c>
      <c r="BL6">
        <v>65</v>
      </c>
      <c r="BM6">
        <v>70.099999999999994</v>
      </c>
      <c r="BP6">
        <v>4</v>
      </c>
      <c r="BQ6">
        <v>33.103400000000001</v>
      </c>
      <c r="BR6">
        <v>62</v>
      </c>
      <c r="BS6">
        <v>99.689700000000002</v>
      </c>
      <c r="BV6">
        <v>4</v>
      </c>
      <c r="BW6">
        <v>31.2727</v>
      </c>
      <c r="BX6">
        <v>71</v>
      </c>
      <c r="BY6">
        <v>95.697000000000003</v>
      </c>
      <c r="CB6">
        <v>4</v>
      </c>
      <c r="CC6">
        <v>21.060600000000001</v>
      </c>
      <c r="CD6">
        <v>79</v>
      </c>
      <c r="CE6">
        <v>93.757599999999996</v>
      </c>
      <c r="CH6">
        <v>4</v>
      </c>
      <c r="CI6">
        <v>30.3611</v>
      </c>
      <c r="CJ6">
        <v>81</v>
      </c>
      <c r="CK6">
        <v>89.722200000000001</v>
      </c>
      <c r="CN6">
        <v>4</v>
      </c>
      <c r="CO6">
        <v>27.820499999999999</v>
      </c>
      <c r="CP6">
        <v>72</v>
      </c>
      <c r="CQ6">
        <v>95.512799999999999</v>
      </c>
      <c r="CT6">
        <v>4</v>
      </c>
      <c r="CU6">
        <v>30.2</v>
      </c>
      <c r="CV6">
        <v>74</v>
      </c>
      <c r="CW6">
        <v>84.085700000000003</v>
      </c>
      <c r="CZ6">
        <v>4</v>
      </c>
      <c r="DA6">
        <v>23.3659</v>
      </c>
      <c r="DB6">
        <v>95</v>
      </c>
      <c r="DC6">
        <v>108.51220000000001</v>
      </c>
      <c r="DF6">
        <v>4</v>
      </c>
      <c r="DG6">
        <v>19.1111</v>
      </c>
      <c r="DH6">
        <v>81</v>
      </c>
      <c r="DI6">
        <v>101.37779999999999</v>
      </c>
    </row>
    <row r="7" spans="1:113" x14ac:dyDescent="0.3">
      <c r="B7">
        <v>5</v>
      </c>
      <c r="C7">
        <v>35.789499999999997</v>
      </c>
      <c r="D7">
        <v>85</v>
      </c>
      <c r="E7">
        <v>96.6053</v>
      </c>
      <c r="H7">
        <v>5</v>
      </c>
      <c r="I7">
        <v>29.633299999999998</v>
      </c>
      <c r="J7">
        <v>62</v>
      </c>
      <c r="K7">
        <v>95.666700000000006</v>
      </c>
      <c r="N7">
        <v>5</v>
      </c>
      <c r="O7">
        <v>27.5</v>
      </c>
      <c r="P7">
        <v>77</v>
      </c>
      <c r="Q7">
        <v>97.176500000000004</v>
      </c>
      <c r="T7">
        <v>5</v>
      </c>
      <c r="U7">
        <v>34.708300000000001</v>
      </c>
      <c r="V7">
        <v>67</v>
      </c>
      <c r="W7">
        <v>100.08329999999999</v>
      </c>
      <c r="Z7">
        <v>5</v>
      </c>
      <c r="AA7">
        <v>27.285699999999999</v>
      </c>
      <c r="AB7">
        <v>75</v>
      </c>
      <c r="AC7">
        <v>101.6429</v>
      </c>
      <c r="AF7">
        <v>5</v>
      </c>
      <c r="AG7">
        <v>30.071400000000001</v>
      </c>
      <c r="AH7">
        <v>72</v>
      </c>
      <c r="AI7">
        <v>103</v>
      </c>
      <c r="AL7">
        <v>5</v>
      </c>
      <c r="AM7">
        <v>30.133299999999998</v>
      </c>
      <c r="AN7">
        <v>77</v>
      </c>
      <c r="AO7">
        <v>98.2667</v>
      </c>
      <c r="AR7">
        <v>5</v>
      </c>
      <c r="AS7">
        <v>28.310300000000002</v>
      </c>
      <c r="AT7">
        <v>59</v>
      </c>
      <c r="AU7">
        <v>87.275899999999993</v>
      </c>
      <c r="AX7">
        <v>5</v>
      </c>
      <c r="AY7">
        <v>22.291699999999999</v>
      </c>
      <c r="AZ7">
        <v>74</v>
      </c>
      <c r="BA7">
        <v>71</v>
      </c>
      <c r="BD7">
        <v>5</v>
      </c>
      <c r="BE7">
        <v>56.4375</v>
      </c>
      <c r="BF7">
        <v>60</v>
      </c>
      <c r="BG7">
        <v>95.593800000000002</v>
      </c>
      <c r="BJ7">
        <v>5</v>
      </c>
      <c r="BK7">
        <v>32.299999999999997</v>
      </c>
      <c r="BL7">
        <v>66</v>
      </c>
      <c r="BM7">
        <v>69.849999999999994</v>
      </c>
      <c r="BP7">
        <v>5</v>
      </c>
      <c r="BQ7">
        <v>34.344799999999999</v>
      </c>
      <c r="BR7">
        <v>63</v>
      </c>
      <c r="BS7">
        <v>98.034499999999994</v>
      </c>
      <c r="BV7">
        <v>5</v>
      </c>
      <c r="BW7">
        <v>32.666699999999999</v>
      </c>
      <c r="BX7">
        <v>72</v>
      </c>
      <c r="BY7">
        <v>94.939400000000006</v>
      </c>
      <c r="CB7">
        <v>5</v>
      </c>
      <c r="CC7">
        <v>21.303000000000001</v>
      </c>
      <c r="CD7">
        <v>80</v>
      </c>
      <c r="CE7">
        <v>92.242400000000004</v>
      </c>
      <c r="CH7">
        <v>5</v>
      </c>
      <c r="CI7">
        <v>30.555599999999998</v>
      </c>
      <c r="CJ7">
        <v>82</v>
      </c>
      <c r="CK7">
        <v>89.944400000000002</v>
      </c>
      <c r="CN7">
        <v>5</v>
      </c>
      <c r="CO7">
        <v>28.692299999999999</v>
      </c>
      <c r="CP7">
        <v>73</v>
      </c>
      <c r="CQ7">
        <v>95.384600000000006</v>
      </c>
      <c r="CT7">
        <v>5</v>
      </c>
      <c r="CU7">
        <v>30.714300000000001</v>
      </c>
      <c r="CV7">
        <v>75</v>
      </c>
      <c r="CW7">
        <v>84</v>
      </c>
      <c r="CZ7">
        <v>5</v>
      </c>
      <c r="DA7">
        <v>23.439</v>
      </c>
      <c r="DB7">
        <v>96</v>
      </c>
      <c r="DC7">
        <v>109.51220000000001</v>
      </c>
      <c r="DF7">
        <v>5</v>
      </c>
      <c r="DG7">
        <v>21.288900000000002</v>
      </c>
      <c r="DH7">
        <v>82</v>
      </c>
      <c r="DI7">
        <v>100.7556</v>
      </c>
    </row>
    <row r="8" spans="1:113" x14ac:dyDescent="0.3">
      <c r="B8">
        <v>6</v>
      </c>
      <c r="C8">
        <v>36.447400000000002</v>
      </c>
      <c r="D8">
        <v>86</v>
      </c>
      <c r="E8">
        <v>96.526300000000006</v>
      </c>
      <c r="H8">
        <v>6</v>
      </c>
      <c r="I8">
        <v>29.9</v>
      </c>
      <c r="J8">
        <v>63</v>
      </c>
      <c r="K8">
        <v>95.3</v>
      </c>
      <c r="N8">
        <v>6</v>
      </c>
      <c r="O8">
        <v>28</v>
      </c>
      <c r="P8">
        <v>78</v>
      </c>
      <c r="Q8">
        <v>96.588200000000001</v>
      </c>
      <c r="T8">
        <v>6</v>
      </c>
      <c r="U8">
        <v>35.333300000000001</v>
      </c>
      <c r="V8">
        <v>68</v>
      </c>
      <c r="W8">
        <v>99.166700000000006</v>
      </c>
      <c r="Z8">
        <v>6</v>
      </c>
      <c r="AA8">
        <v>26.964300000000001</v>
      </c>
      <c r="AB8">
        <v>76</v>
      </c>
      <c r="AC8">
        <v>101.28570000000001</v>
      </c>
      <c r="AF8">
        <v>6</v>
      </c>
      <c r="AG8">
        <v>30.428599999999999</v>
      </c>
      <c r="AH8">
        <v>73</v>
      </c>
      <c r="AI8">
        <v>101.3214</v>
      </c>
      <c r="AL8">
        <v>6</v>
      </c>
      <c r="AM8">
        <v>30.466699999999999</v>
      </c>
      <c r="AN8">
        <v>78</v>
      </c>
      <c r="AO8">
        <v>98.7667</v>
      </c>
      <c r="AR8">
        <v>6</v>
      </c>
      <c r="AS8">
        <v>29.310300000000002</v>
      </c>
      <c r="AT8">
        <v>60</v>
      </c>
      <c r="AU8">
        <v>86.689700000000002</v>
      </c>
      <c r="AX8">
        <v>6</v>
      </c>
      <c r="AY8">
        <v>22.458300000000001</v>
      </c>
      <c r="AZ8">
        <v>75</v>
      </c>
      <c r="BA8">
        <v>71.708299999999994</v>
      </c>
      <c r="BD8">
        <v>6</v>
      </c>
      <c r="BE8">
        <v>65.3125</v>
      </c>
      <c r="BF8">
        <v>61</v>
      </c>
      <c r="BG8">
        <v>94.6875</v>
      </c>
      <c r="BJ8">
        <v>6</v>
      </c>
      <c r="BK8">
        <v>32.85</v>
      </c>
      <c r="BL8">
        <v>67</v>
      </c>
      <c r="BM8">
        <v>69.349999999999994</v>
      </c>
      <c r="BP8">
        <v>6</v>
      </c>
      <c r="BQ8">
        <v>35.689700000000002</v>
      </c>
      <c r="BR8">
        <v>64</v>
      </c>
      <c r="BS8">
        <v>97.034499999999994</v>
      </c>
      <c r="BV8">
        <v>6</v>
      </c>
      <c r="BW8">
        <v>33.969700000000003</v>
      </c>
      <c r="BX8">
        <v>73</v>
      </c>
      <c r="BY8">
        <v>94.515199999999993</v>
      </c>
      <c r="CB8">
        <v>6</v>
      </c>
      <c r="CC8">
        <v>21.363600000000002</v>
      </c>
      <c r="CD8">
        <v>81</v>
      </c>
      <c r="CE8">
        <v>90.151499999999999</v>
      </c>
      <c r="CH8">
        <v>6</v>
      </c>
      <c r="CI8">
        <v>30.972200000000001</v>
      </c>
      <c r="CJ8">
        <v>83</v>
      </c>
      <c r="CK8">
        <v>89.944400000000002</v>
      </c>
      <c r="CN8">
        <v>6</v>
      </c>
      <c r="CO8">
        <v>30.230799999999999</v>
      </c>
      <c r="CP8">
        <v>74</v>
      </c>
      <c r="CQ8">
        <v>95.051299999999998</v>
      </c>
      <c r="CT8">
        <v>6</v>
      </c>
      <c r="CU8">
        <v>31.171399999999998</v>
      </c>
      <c r="CV8">
        <v>76</v>
      </c>
      <c r="CW8">
        <v>82.942899999999995</v>
      </c>
      <c r="CZ8">
        <v>6</v>
      </c>
      <c r="DA8">
        <v>23.8049</v>
      </c>
      <c r="DB8">
        <v>97</v>
      </c>
      <c r="DC8">
        <v>110.3171</v>
      </c>
      <c r="DF8">
        <v>6</v>
      </c>
      <c r="DG8">
        <v>23.066700000000001</v>
      </c>
      <c r="DH8">
        <v>83</v>
      </c>
      <c r="DI8">
        <v>100.0667</v>
      </c>
    </row>
    <row r="9" spans="1:113" x14ac:dyDescent="0.3">
      <c r="B9">
        <v>7</v>
      </c>
      <c r="C9">
        <v>36.947400000000002</v>
      </c>
      <c r="D9">
        <v>87</v>
      </c>
      <c r="E9">
        <v>96.157899999999998</v>
      </c>
      <c r="H9">
        <v>7</v>
      </c>
      <c r="I9">
        <v>30</v>
      </c>
      <c r="J9">
        <v>64</v>
      </c>
      <c r="K9">
        <v>94.966700000000003</v>
      </c>
      <c r="N9">
        <v>7</v>
      </c>
      <c r="O9">
        <v>28.558800000000002</v>
      </c>
      <c r="P9">
        <v>79</v>
      </c>
      <c r="Q9">
        <v>96</v>
      </c>
      <c r="T9">
        <v>7</v>
      </c>
      <c r="U9">
        <v>35.583300000000001</v>
      </c>
      <c r="V9">
        <v>69</v>
      </c>
      <c r="W9">
        <v>98.125</v>
      </c>
      <c r="Z9">
        <v>7</v>
      </c>
      <c r="AA9">
        <v>27</v>
      </c>
      <c r="AB9">
        <v>77</v>
      </c>
      <c r="AC9">
        <v>100.21429999999999</v>
      </c>
      <c r="AF9">
        <v>7</v>
      </c>
      <c r="AG9">
        <v>30</v>
      </c>
      <c r="AH9">
        <v>74</v>
      </c>
      <c r="AI9">
        <v>100.1429</v>
      </c>
      <c r="AL9">
        <v>7</v>
      </c>
      <c r="AM9">
        <v>30.7333</v>
      </c>
      <c r="AN9">
        <v>79</v>
      </c>
      <c r="AO9">
        <v>98.3</v>
      </c>
      <c r="AR9">
        <v>7</v>
      </c>
      <c r="AS9">
        <v>29.7241</v>
      </c>
      <c r="AT9">
        <v>61</v>
      </c>
      <c r="AU9">
        <v>86.034499999999994</v>
      </c>
      <c r="AX9">
        <v>7</v>
      </c>
      <c r="AY9">
        <v>22.25</v>
      </c>
      <c r="AZ9">
        <v>76</v>
      </c>
      <c r="BA9">
        <v>72.5</v>
      </c>
      <c r="BD9">
        <v>7</v>
      </c>
      <c r="BE9">
        <v>69.5</v>
      </c>
      <c r="BF9">
        <v>62</v>
      </c>
      <c r="BG9">
        <v>93.6875</v>
      </c>
      <c r="BJ9">
        <v>7</v>
      </c>
      <c r="BK9">
        <v>33.6</v>
      </c>
      <c r="BL9">
        <v>68</v>
      </c>
      <c r="BM9">
        <v>68.849999999999994</v>
      </c>
      <c r="BP9">
        <v>7</v>
      </c>
      <c r="BQ9">
        <v>36.620699999999999</v>
      </c>
      <c r="BR9">
        <v>65</v>
      </c>
      <c r="BS9">
        <v>96.275899999999993</v>
      </c>
      <c r="BV9">
        <v>7</v>
      </c>
      <c r="BW9">
        <v>34.7879</v>
      </c>
      <c r="BX9">
        <v>74</v>
      </c>
      <c r="BY9">
        <v>93.666700000000006</v>
      </c>
      <c r="CB9">
        <v>7</v>
      </c>
      <c r="CC9">
        <v>21.2727</v>
      </c>
      <c r="CD9">
        <v>82</v>
      </c>
      <c r="CE9">
        <v>88.757599999999996</v>
      </c>
      <c r="CH9">
        <v>7</v>
      </c>
      <c r="CI9">
        <v>31.3889</v>
      </c>
      <c r="CJ9">
        <v>84</v>
      </c>
      <c r="CK9">
        <v>89.888900000000007</v>
      </c>
      <c r="CN9">
        <v>7</v>
      </c>
      <c r="CO9">
        <v>31.076899999999998</v>
      </c>
      <c r="CP9">
        <v>75</v>
      </c>
      <c r="CQ9">
        <v>94.923100000000005</v>
      </c>
      <c r="CT9">
        <v>7</v>
      </c>
      <c r="CU9">
        <v>31.685700000000001</v>
      </c>
      <c r="CV9">
        <v>77</v>
      </c>
      <c r="CW9">
        <v>82.142899999999997</v>
      </c>
      <c r="CZ9">
        <v>7</v>
      </c>
      <c r="DA9">
        <v>24.1707</v>
      </c>
      <c r="DB9">
        <v>98</v>
      </c>
      <c r="DC9">
        <v>111.1463</v>
      </c>
      <c r="DF9">
        <v>7</v>
      </c>
      <c r="DG9">
        <v>24.8444</v>
      </c>
      <c r="DH9">
        <v>84</v>
      </c>
      <c r="DI9">
        <v>99.2667</v>
      </c>
    </row>
    <row r="10" spans="1:113" x14ac:dyDescent="0.3">
      <c r="B10">
        <v>8</v>
      </c>
      <c r="C10">
        <v>37.026299999999999</v>
      </c>
      <c r="D10">
        <v>88</v>
      </c>
      <c r="E10">
        <v>95.631600000000006</v>
      </c>
      <c r="H10">
        <v>8</v>
      </c>
      <c r="I10">
        <v>30.2333</v>
      </c>
      <c r="J10">
        <v>65</v>
      </c>
      <c r="K10">
        <v>92.9</v>
      </c>
      <c r="N10">
        <v>8</v>
      </c>
      <c r="O10">
        <v>29</v>
      </c>
      <c r="P10">
        <v>80</v>
      </c>
      <c r="Q10">
        <v>95.470600000000005</v>
      </c>
      <c r="T10">
        <v>8</v>
      </c>
      <c r="U10">
        <v>36.166699999999999</v>
      </c>
      <c r="V10">
        <v>70</v>
      </c>
      <c r="W10">
        <v>97.375</v>
      </c>
      <c r="Z10">
        <v>8</v>
      </c>
      <c r="AA10">
        <v>27.892900000000001</v>
      </c>
      <c r="AB10">
        <v>78</v>
      </c>
      <c r="AC10">
        <v>98.892899999999997</v>
      </c>
      <c r="AF10">
        <v>8</v>
      </c>
      <c r="AG10">
        <v>30.571400000000001</v>
      </c>
      <c r="AH10">
        <v>75</v>
      </c>
      <c r="AI10">
        <v>98.5</v>
      </c>
      <c r="AL10">
        <v>8</v>
      </c>
      <c r="AM10">
        <v>31.066700000000001</v>
      </c>
      <c r="AN10">
        <v>80</v>
      </c>
      <c r="AO10">
        <v>97.8</v>
      </c>
      <c r="AR10">
        <v>8</v>
      </c>
      <c r="AS10">
        <v>29.931000000000001</v>
      </c>
      <c r="AT10">
        <v>62</v>
      </c>
      <c r="AU10">
        <v>85.310299999999998</v>
      </c>
      <c r="AX10">
        <v>8</v>
      </c>
      <c r="AY10">
        <v>22.416699999999999</v>
      </c>
      <c r="AZ10">
        <v>77</v>
      </c>
      <c r="BA10">
        <v>72.625</v>
      </c>
      <c r="BD10">
        <v>8</v>
      </c>
      <c r="BE10">
        <v>71.093800000000002</v>
      </c>
      <c r="BF10">
        <v>63</v>
      </c>
      <c r="BG10">
        <v>92.906199999999998</v>
      </c>
      <c r="BJ10">
        <v>8</v>
      </c>
      <c r="BK10">
        <v>35</v>
      </c>
      <c r="BL10">
        <v>69</v>
      </c>
      <c r="BM10">
        <v>67.95</v>
      </c>
      <c r="BP10">
        <v>8</v>
      </c>
      <c r="BQ10">
        <v>37.551699999999997</v>
      </c>
      <c r="BR10">
        <v>66</v>
      </c>
      <c r="BS10">
        <v>95.482799999999997</v>
      </c>
      <c r="BV10">
        <v>8</v>
      </c>
      <c r="BW10">
        <v>35.121200000000002</v>
      </c>
      <c r="BX10">
        <v>75</v>
      </c>
      <c r="BY10">
        <v>91.848500000000001</v>
      </c>
      <c r="CB10">
        <v>8</v>
      </c>
      <c r="CC10">
        <v>21.636399999999998</v>
      </c>
      <c r="CD10">
        <v>83</v>
      </c>
      <c r="CE10">
        <v>87.848500000000001</v>
      </c>
      <c r="CH10">
        <v>8</v>
      </c>
      <c r="CI10">
        <v>31.833300000000001</v>
      </c>
      <c r="CJ10">
        <v>85</v>
      </c>
      <c r="CK10">
        <v>89.75</v>
      </c>
      <c r="CN10">
        <v>8</v>
      </c>
      <c r="CO10">
        <v>31.8462</v>
      </c>
      <c r="CP10">
        <v>76</v>
      </c>
      <c r="CQ10">
        <v>95</v>
      </c>
      <c r="CT10">
        <v>8</v>
      </c>
      <c r="CU10">
        <v>32.171399999999998</v>
      </c>
      <c r="CV10">
        <v>78</v>
      </c>
      <c r="CW10">
        <v>80.742900000000006</v>
      </c>
      <c r="CZ10">
        <v>8</v>
      </c>
      <c r="DA10">
        <v>24.5854</v>
      </c>
      <c r="DB10">
        <v>99</v>
      </c>
      <c r="DC10">
        <v>111.2195</v>
      </c>
      <c r="DF10">
        <v>8</v>
      </c>
      <c r="DG10">
        <v>26.355599999999999</v>
      </c>
      <c r="DH10">
        <v>85</v>
      </c>
      <c r="DI10">
        <v>98.377799999999993</v>
      </c>
    </row>
    <row r="11" spans="1:113" x14ac:dyDescent="0.3">
      <c r="B11">
        <v>9</v>
      </c>
      <c r="C11">
        <v>36.868400000000001</v>
      </c>
      <c r="D11">
        <v>89</v>
      </c>
      <c r="E11">
        <v>94.921099999999996</v>
      </c>
      <c r="H11">
        <v>9</v>
      </c>
      <c r="I11">
        <v>30.533300000000001</v>
      </c>
      <c r="J11">
        <v>66</v>
      </c>
      <c r="K11">
        <v>89</v>
      </c>
      <c r="N11">
        <v>9</v>
      </c>
      <c r="O11">
        <v>29.352900000000002</v>
      </c>
      <c r="P11">
        <v>81</v>
      </c>
      <c r="Q11">
        <v>95</v>
      </c>
      <c r="T11">
        <v>9</v>
      </c>
      <c r="U11">
        <v>37.375</v>
      </c>
      <c r="V11">
        <v>71</v>
      </c>
      <c r="W11">
        <v>95.791700000000006</v>
      </c>
      <c r="Z11">
        <v>9</v>
      </c>
      <c r="AA11">
        <v>28.464300000000001</v>
      </c>
      <c r="AB11">
        <v>79</v>
      </c>
      <c r="AC11">
        <v>97.928600000000003</v>
      </c>
      <c r="AF11">
        <v>9</v>
      </c>
      <c r="AG11">
        <v>31.75</v>
      </c>
      <c r="AH11">
        <v>76</v>
      </c>
      <c r="AI11">
        <v>95.892899999999997</v>
      </c>
      <c r="AL11">
        <v>9</v>
      </c>
      <c r="AM11">
        <v>31.2333</v>
      </c>
      <c r="AN11">
        <v>81</v>
      </c>
      <c r="AO11">
        <v>98</v>
      </c>
      <c r="AR11">
        <v>9</v>
      </c>
      <c r="AS11">
        <v>31.103400000000001</v>
      </c>
      <c r="AT11">
        <v>63</v>
      </c>
      <c r="AU11">
        <v>84.551699999999997</v>
      </c>
      <c r="AX11">
        <v>9</v>
      </c>
      <c r="AY11">
        <v>23.375</v>
      </c>
      <c r="AZ11">
        <v>78</v>
      </c>
      <c r="BA11">
        <v>72.041700000000006</v>
      </c>
      <c r="BD11">
        <v>9</v>
      </c>
      <c r="BE11">
        <v>70.843800000000002</v>
      </c>
      <c r="BF11">
        <v>64</v>
      </c>
      <c r="BG11">
        <v>92.25</v>
      </c>
      <c r="BJ11">
        <v>9</v>
      </c>
      <c r="BK11">
        <v>36</v>
      </c>
      <c r="BL11">
        <v>70</v>
      </c>
      <c r="BM11">
        <v>67.2</v>
      </c>
      <c r="BP11">
        <v>9</v>
      </c>
      <c r="BQ11">
        <v>38.172400000000003</v>
      </c>
      <c r="BR11">
        <v>67</v>
      </c>
      <c r="BS11">
        <v>94.827600000000004</v>
      </c>
      <c r="BV11">
        <v>9</v>
      </c>
      <c r="BW11">
        <v>35.151499999999999</v>
      </c>
      <c r="BX11">
        <v>76</v>
      </c>
      <c r="BY11">
        <v>88.818200000000004</v>
      </c>
      <c r="CB11">
        <v>9</v>
      </c>
      <c r="CC11">
        <v>22.7576</v>
      </c>
      <c r="CD11">
        <v>84</v>
      </c>
      <c r="CE11">
        <v>86.333299999999994</v>
      </c>
      <c r="CH11">
        <v>9</v>
      </c>
      <c r="CI11">
        <v>32.25</v>
      </c>
      <c r="CJ11">
        <v>86</v>
      </c>
      <c r="CK11">
        <v>89.277799999999999</v>
      </c>
      <c r="CN11">
        <v>9</v>
      </c>
      <c r="CO11">
        <v>32.435899999999997</v>
      </c>
      <c r="CP11">
        <v>77</v>
      </c>
      <c r="CQ11">
        <v>94.666700000000006</v>
      </c>
      <c r="CT11">
        <v>9</v>
      </c>
      <c r="CU11">
        <v>32.942900000000002</v>
      </c>
      <c r="CV11">
        <v>79</v>
      </c>
      <c r="CW11">
        <v>77.3429</v>
      </c>
      <c r="CZ11">
        <v>9</v>
      </c>
      <c r="DA11">
        <v>26.2439</v>
      </c>
      <c r="DB11">
        <v>100</v>
      </c>
      <c r="DC11">
        <v>111.3171</v>
      </c>
      <c r="DF11">
        <v>9</v>
      </c>
      <c r="DG11">
        <v>27.5778</v>
      </c>
      <c r="DH11">
        <v>86</v>
      </c>
      <c r="DI11">
        <v>97.066699999999997</v>
      </c>
    </row>
    <row r="12" spans="1:113" x14ac:dyDescent="0.3">
      <c r="B12">
        <v>10</v>
      </c>
      <c r="C12">
        <v>37.078899999999997</v>
      </c>
      <c r="D12">
        <v>90</v>
      </c>
      <c r="E12">
        <v>93.842100000000002</v>
      </c>
      <c r="H12">
        <v>10</v>
      </c>
      <c r="I12">
        <v>31.1</v>
      </c>
      <c r="J12">
        <v>67</v>
      </c>
      <c r="K12">
        <v>84.533299999999997</v>
      </c>
      <c r="N12">
        <v>10</v>
      </c>
      <c r="O12">
        <v>29.735299999999999</v>
      </c>
      <c r="P12">
        <v>82</v>
      </c>
      <c r="Q12">
        <v>94.764700000000005</v>
      </c>
      <c r="T12">
        <v>10</v>
      </c>
      <c r="U12">
        <v>38.708300000000001</v>
      </c>
      <c r="V12">
        <v>72</v>
      </c>
      <c r="W12">
        <v>94.208299999999994</v>
      </c>
      <c r="Z12">
        <v>10</v>
      </c>
      <c r="AA12">
        <v>28.928599999999999</v>
      </c>
      <c r="AB12">
        <v>80</v>
      </c>
      <c r="AC12">
        <v>96.928600000000003</v>
      </c>
      <c r="AF12">
        <v>10</v>
      </c>
      <c r="AG12">
        <v>33.035699999999999</v>
      </c>
      <c r="AH12">
        <v>77</v>
      </c>
      <c r="AI12">
        <v>92.392899999999997</v>
      </c>
      <c r="AL12">
        <v>10</v>
      </c>
      <c r="AM12">
        <v>31.366700000000002</v>
      </c>
      <c r="AN12">
        <v>82</v>
      </c>
      <c r="AO12">
        <v>97.6</v>
      </c>
      <c r="AR12">
        <v>10</v>
      </c>
      <c r="AS12">
        <v>33.172400000000003</v>
      </c>
      <c r="AT12">
        <v>64</v>
      </c>
      <c r="AU12">
        <v>84.034499999999994</v>
      </c>
      <c r="AX12">
        <v>10</v>
      </c>
      <c r="AY12">
        <v>24.333300000000001</v>
      </c>
      <c r="AZ12">
        <v>79</v>
      </c>
      <c r="BA12">
        <v>71.791700000000006</v>
      </c>
      <c r="BD12">
        <v>10</v>
      </c>
      <c r="BE12">
        <v>70</v>
      </c>
      <c r="BF12">
        <v>65</v>
      </c>
      <c r="BG12">
        <v>91.75</v>
      </c>
      <c r="BJ12">
        <v>10</v>
      </c>
      <c r="BK12">
        <v>36.700000000000003</v>
      </c>
      <c r="BL12">
        <v>71</v>
      </c>
      <c r="BM12">
        <v>67.45</v>
      </c>
      <c r="BP12">
        <v>10</v>
      </c>
      <c r="BQ12">
        <v>39.655200000000001</v>
      </c>
      <c r="BR12">
        <v>68</v>
      </c>
      <c r="BS12">
        <v>94.241399999999999</v>
      </c>
      <c r="BV12">
        <v>10</v>
      </c>
      <c r="BW12">
        <v>34.818199999999997</v>
      </c>
      <c r="BX12">
        <v>77</v>
      </c>
      <c r="BY12">
        <v>84.818200000000004</v>
      </c>
      <c r="CB12">
        <v>10</v>
      </c>
      <c r="CC12">
        <v>23.909099999999999</v>
      </c>
      <c r="CD12">
        <v>85</v>
      </c>
      <c r="CE12">
        <v>84.545500000000004</v>
      </c>
      <c r="CH12">
        <v>10</v>
      </c>
      <c r="CI12">
        <v>32.666699999999999</v>
      </c>
      <c r="CJ12">
        <v>87</v>
      </c>
      <c r="CK12">
        <v>88.972200000000001</v>
      </c>
      <c r="CN12">
        <v>10</v>
      </c>
      <c r="CO12">
        <v>32.692300000000003</v>
      </c>
      <c r="CP12">
        <v>78</v>
      </c>
      <c r="CQ12">
        <v>93.794899999999998</v>
      </c>
      <c r="CT12">
        <v>10</v>
      </c>
      <c r="CU12">
        <v>34.257100000000001</v>
      </c>
      <c r="CV12">
        <v>80</v>
      </c>
      <c r="CW12">
        <v>72.6571</v>
      </c>
      <c r="CZ12">
        <v>10</v>
      </c>
      <c r="DA12">
        <v>27.6585</v>
      </c>
      <c r="DB12">
        <v>101</v>
      </c>
      <c r="DC12">
        <v>111.41459999999999</v>
      </c>
      <c r="DF12">
        <v>10</v>
      </c>
      <c r="DG12">
        <v>28.377800000000001</v>
      </c>
      <c r="DH12">
        <v>87</v>
      </c>
      <c r="DI12">
        <v>95.822199999999995</v>
      </c>
    </row>
    <row r="13" spans="1:113" x14ac:dyDescent="0.3">
      <c r="B13">
        <v>11</v>
      </c>
      <c r="C13">
        <v>37.3947</v>
      </c>
      <c r="D13">
        <v>91</v>
      </c>
      <c r="E13">
        <v>92.315799999999996</v>
      </c>
      <c r="H13">
        <v>11</v>
      </c>
      <c r="I13">
        <v>31.2</v>
      </c>
      <c r="J13">
        <v>68</v>
      </c>
      <c r="K13">
        <v>79.599999999999994</v>
      </c>
      <c r="N13">
        <v>11</v>
      </c>
      <c r="O13">
        <v>30.176500000000001</v>
      </c>
      <c r="P13">
        <v>83</v>
      </c>
      <c r="Q13">
        <v>94.5</v>
      </c>
      <c r="T13">
        <v>11</v>
      </c>
      <c r="U13">
        <v>40.125</v>
      </c>
      <c r="V13">
        <v>73</v>
      </c>
      <c r="W13">
        <v>93.291700000000006</v>
      </c>
      <c r="Z13">
        <v>11</v>
      </c>
      <c r="AA13">
        <v>28.892900000000001</v>
      </c>
      <c r="AB13">
        <v>81</v>
      </c>
      <c r="AC13">
        <v>96</v>
      </c>
      <c r="AF13">
        <v>11</v>
      </c>
      <c r="AG13">
        <v>34.035699999999999</v>
      </c>
      <c r="AH13">
        <v>78</v>
      </c>
      <c r="AI13">
        <v>89.392899999999997</v>
      </c>
      <c r="AL13">
        <v>11</v>
      </c>
      <c r="AM13">
        <v>32.1</v>
      </c>
      <c r="AN13">
        <v>83</v>
      </c>
      <c r="AO13">
        <v>96.3</v>
      </c>
      <c r="AR13">
        <v>11</v>
      </c>
      <c r="AS13">
        <v>34.7241</v>
      </c>
      <c r="AT13">
        <v>65</v>
      </c>
      <c r="AU13">
        <v>82.827600000000004</v>
      </c>
      <c r="AX13">
        <v>11</v>
      </c>
      <c r="AY13">
        <v>25.041699999999999</v>
      </c>
      <c r="AZ13">
        <v>80</v>
      </c>
      <c r="BA13">
        <v>71.125</v>
      </c>
      <c r="BD13">
        <v>11</v>
      </c>
      <c r="BE13">
        <v>69.375</v>
      </c>
      <c r="BF13">
        <v>66</v>
      </c>
      <c r="BG13">
        <v>91.281199999999998</v>
      </c>
      <c r="BJ13">
        <v>11</v>
      </c>
      <c r="BK13">
        <v>37.35</v>
      </c>
      <c r="BL13">
        <v>72</v>
      </c>
      <c r="BM13">
        <v>67.7</v>
      </c>
      <c r="BP13">
        <v>11</v>
      </c>
      <c r="BQ13">
        <v>40.965499999999999</v>
      </c>
      <c r="BR13">
        <v>69</v>
      </c>
      <c r="BS13">
        <v>93.379300000000001</v>
      </c>
      <c r="BV13">
        <v>11</v>
      </c>
      <c r="BW13">
        <v>34.393900000000002</v>
      </c>
      <c r="BX13">
        <v>78</v>
      </c>
      <c r="BY13">
        <v>80.545500000000004</v>
      </c>
      <c r="CB13">
        <v>11</v>
      </c>
      <c r="CC13">
        <v>24.636399999999998</v>
      </c>
      <c r="CD13">
        <v>86</v>
      </c>
      <c r="CE13">
        <v>82.7273</v>
      </c>
      <c r="CH13">
        <v>11</v>
      </c>
      <c r="CI13">
        <v>32.833300000000001</v>
      </c>
      <c r="CJ13">
        <v>88</v>
      </c>
      <c r="CK13">
        <v>87.944400000000002</v>
      </c>
      <c r="CN13">
        <v>11</v>
      </c>
      <c r="CO13">
        <v>33</v>
      </c>
      <c r="CP13">
        <v>79</v>
      </c>
      <c r="CQ13">
        <v>92.461500000000001</v>
      </c>
      <c r="CT13">
        <v>11</v>
      </c>
      <c r="CU13">
        <v>35.542900000000003</v>
      </c>
      <c r="CV13">
        <v>81</v>
      </c>
      <c r="CW13">
        <v>68</v>
      </c>
      <c r="CZ13">
        <v>11</v>
      </c>
      <c r="DA13">
        <v>28.4146</v>
      </c>
      <c r="DB13">
        <v>102</v>
      </c>
      <c r="DC13">
        <v>111.58540000000001</v>
      </c>
      <c r="DF13">
        <v>11</v>
      </c>
      <c r="DG13">
        <v>29</v>
      </c>
      <c r="DH13">
        <v>88</v>
      </c>
      <c r="DI13">
        <v>94.111099999999993</v>
      </c>
    </row>
    <row r="14" spans="1:113" x14ac:dyDescent="0.3">
      <c r="B14">
        <v>12</v>
      </c>
      <c r="C14">
        <v>37.815800000000003</v>
      </c>
      <c r="D14">
        <v>92</v>
      </c>
      <c r="E14">
        <v>90.631600000000006</v>
      </c>
      <c r="H14">
        <v>12</v>
      </c>
      <c r="I14">
        <v>31.933299999999999</v>
      </c>
      <c r="J14">
        <v>69</v>
      </c>
      <c r="K14">
        <v>75.633300000000006</v>
      </c>
      <c r="N14">
        <v>12</v>
      </c>
      <c r="O14">
        <v>31.147099999999998</v>
      </c>
      <c r="P14">
        <v>84</v>
      </c>
      <c r="Q14">
        <v>93.852900000000005</v>
      </c>
      <c r="T14">
        <v>12</v>
      </c>
      <c r="U14">
        <v>41.916699999999999</v>
      </c>
      <c r="V14">
        <v>74</v>
      </c>
      <c r="W14">
        <v>93.125</v>
      </c>
      <c r="Z14">
        <v>12</v>
      </c>
      <c r="AA14">
        <v>29.464300000000001</v>
      </c>
      <c r="AB14">
        <v>82</v>
      </c>
      <c r="AC14">
        <v>94.607100000000003</v>
      </c>
      <c r="AF14">
        <v>12</v>
      </c>
      <c r="AG14">
        <v>33.928600000000003</v>
      </c>
      <c r="AH14">
        <v>79</v>
      </c>
      <c r="AI14">
        <v>87.928600000000003</v>
      </c>
      <c r="AL14">
        <v>12</v>
      </c>
      <c r="AM14">
        <v>32.833300000000001</v>
      </c>
      <c r="AN14">
        <v>84</v>
      </c>
      <c r="AO14">
        <v>93.7667</v>
      </c>
      <c r="AR14">
        <v>12</v>
      </c>
      <c r="AS14">
        <v>35.586199999999998</v>
      </c>
      <c r="AT14">
        <v>66</v>
      </c>
      <c r="AU14">
        <v>81.172399999999996</v>
      </c>
      <c r="AX14">
        <v>12</v>
      </c>
      <c r="AY14">
        <v>25.625</v>
      </c>
      <c r="AZ14">
        <v>81</v>
      </c>
      <c r="BA14">
        <v>69.375</v>
      </c>
      <c r="BD14">
        <v>12</v>
      </c>
      <c r="BE14">
        <v>68.906199999999998</v>
      </c>
      <c r="BF14">
        <v>67</v>
      </c>
      <c r="BG14">
        <v>90.125</v>
      </c>
      <c r="BJ14">
        <v>12</v>
      </c>
      <c r="BK14">
        <v>37.4</v>
      </c>
      <c r="BL14">
        <v>73</v>
      </c>
      <c r="BM14">
        <v>67.55</v>
      </c>
      <c r="BP14">
        <v>12</v>
      </c>
      <c r="BQ14">
        <v>41.034500000000001</v>
      </c>
      <c r="BR14">
        <v>70</v>
      </c>
      <c r="BS14">
        <v>92.689700000000002</v>
      </c>
      <c r="BV14">
        <v>12</v>
      </c>
      <c r="BW14">
        <v>34.7273</v>
      </c>
      <c r="BX14">
        <v>79</v>
      </c>
      <c r="BY14">
        <v>76.636399999999995</v>
      </c>
      <c r="CB14">
        <v>12</v>
      </c>
      <c r="CC14">
        <v>25.060600000000001</v>
      </c>
      <c r="CD14">
        <v>87</v>
      </c>
      <c r="CE14">
        <v>79.969700000000003</v>
      </c>
      <c r="CH14">
        <v>12</v>
      </c>
      <c r="CI14">
        <v>32.6389</v>
      </c>
      <c r="CJ14">
        <v>89</v>
      </c>
      <c r="CK14">
        <v>86.916700000000006</v>
      </c>
      <c r="CN14">
        <v>12</v>
      </c>
      <c r="CO14">
        <v>34.179499999999997</v>
      </c>
      <c r="CP14">
        <v>80</v>
      </c>
      <c r="CQ14">
        <v>90.743600000000001</v>
      </c>
      <c r="CT14">
        <v>12</v>
      </c>
      <c r="CU14">
        <v>36.3429</v>
      </c>
      <c r="CV14">
        <v>82</v>
      </c>
      <c r="CW14">
        <v>65</v>
      </c>
      <c r="CZ14">
        <v>12</v>
      </c>
      <c r="DA14">
        <v>29.2195</v>
      </c>
      <c r="DB14">
        <v>103</v>
      </c>
      <c r="DC14">
        <v>111.8781</v>
      </c>
      <c r="DF14">
        <v>12</v>
      </c>
      <c r="DG14">
        <v>29.933299999999999</v>
      </c>
      <c r="DH14">
        <v>89</v>
      </c>
      <c r="DI14">
        <v>92.355599999999995</v>
      </c>
    </row>
    <row r="15" spans="1:113" x14ac:dyDescent="0.3">
      <c r="B15">
        <v>13</v>
      </c>
      <c r="C15">
        <v>38.578899999999997</v>
      </c>
      <c r="D15">
        <v>93</v>
      </c>
      <c r="E15">
        <v>89.421099999999996</v>
      </c>
      <c r="H15">
        <v>13</v>
      </c>
      <c r="I15">
        <v>32.866700000000002</v>
      </c>
      <c r="J15">
        <v>70</v>
      </c>
      <c r="K15">
        <v>72.533299999999997</v>
      </c>
      <c r="N15">
        <v>13</v>
      </c>
      <c r="O15">
        <v>31.911799999999999</v>
      </c>
      <c r="P15">
        <v>85</v>
      </c>
      <c r="Q15">
        <v>93.764700000000005</v>
      </c>
      <c r="T15">
        <v>13</v>
      </c>
      <c r="U15">
        <v>43.75</v>
      </c>
      <c r="V15">
        <v>75</v>
      </c>
      <c r="W15">
        <v>92.291700000000006</v>
      </c>
      <c r="Z15">
        <v>13</v>
      </c>
      <c r="AA15">
        <v>30.642900000000001</v>
      </c>
      <c r="AB15">
        <v>83</v>
      </c>
      <c r="AC15">
        <v>92.75</v>
      </c>
      <c r="AF15">
        <v>13</v>
      </c>
      <c r="AG15">
        <v>33.357100000000003</v>
      </c>
      <c r="AH15">
        <v>80</v>
      </c>
      <c r="AI15">
        <v>87.035700000000006</v>
      </c>
      <c r="AL15">
        <v>13</v>
      </c>
      <c r="AM15">
        <v>33.6</v>
      </c>
      <c r="AN15">
        <v>85</v>
      </c>
      <c r="AO15">
        <v>89.7333</v>
      </c>
      <c r="AR15">
        <v>13</v>
      </c>
      <c r="AS15">
        <v>36.517200000000003</v>
      </c>
      <c r="AT15">
        <v>67</v>
      </c>
      <c r="AU15">
        <v>78.965500000000006</v>
      </c>
      <c r="AX15">
        <v>13</v>
      </c>
      <c r="AY15">
        <v>25.75</v>
      </c>
      <c r="AZ15">
        <v>82</v>
      </c>
      <c r="BA15">
        <v>67.916700000000006</v>
      </c>
      <c r="BD15">
        <v>13</v>
      </c>
      <c r="BE15">
        <v>69.406199999999998</v>
      </c>
      <c r="BF15">
        <v>68</v>
      </c>
      <c r="BG15">
        <v>88.468800000000002</v>
      </c>
      <c r="BJ15">
        <v>13</v>
      </c>
      <c r="BK15">
        <v>38</v>
      </c>
      <c r="BL15">
        <v>74</v>
      </c>
      <c r="BM15">
        <v>66.099999999999994</v>
      </c>
      <c r="BP15">
        <v>13</v>
      </c>
      <c r="BQ15">
        <v>41.2759</v>
      </c>
      <c r="BR15">
        <v>71</v>
      </c>
      <c r="BS15">
        <v>91.896600000000007</v>
      </c>
      <c r="BV15">
        <v>13</v>
      </c>
      <c r="BW15">
        <v>35.5152</v>
      </c>
      <c r="BX15">
        <v>80</v>
      </c>
      <c r="BY15">
        <v>73.606099999999998</v>
      </c>
      <c r="CB15">
        <v>13</v>
      </c>
      <c r="CC15">
        <v>25.121200000000002</v>
      </c>
      <c r="CD15">
        <v>88</v>
      </c>
      <c r="CE15">
        <v>77.121200000000002</v>
      </c>
      <c r="CH15">
        <v>13</v>
      </c>
      <c r="CI15">
        <v>32.694400000000002</v>
      </c>
      <c r="CJ15">
        <v>90</v>
      </c>
      <c r="CK15">
        <v>86.111099999999993</v>
      </c>
      <c r="CN15">
        <v>13</v>
      </c>
      <c r="CO15">
        <v>35.384599999999999</v>
      </c>
      <c r="CP15">
        <v>81</v>
      </c>
      <c r="CQ15">
        <v>88.923100000000005</v>
      </c>
      <c r="CT15">
        <v>13</v>
      </c>
      <c r="CU15">
        <v>36.628599999999999</v>
      </c>
      <c r="CV15">
        <v>83</v>
      </c>
      <c r="CW15">
        <v>62.257100000000001</v>
      </c>
      <c r="CZ15">
        <v>13</v>
      </c>
      <c r="DA15">
        <v>30.0976</v>
      </c>
      <c r="DB15">
        <v>104</v>
      </c>
      <c r="DC15">
        <v>111.51220000000001</v>
      </c>
      <c r="DF15">
        <v>13</v>
      </c>
      <c r="DG15">
        <v>31.244399999999999</v>
      </c>
      <c r="DH15">
        <v>90</v>
      </c>
      <c r="DI15">
        <v>91.4</v>
      </c>
    </row>
    <row r="16" spans="1:113" x14ac:dyDescent="0.3">
      <c r="B16">
        <v>14</v>
      </c>
      <c r="C16">
        <v>39.368400000000001</v>
      </c>
      <c r="D16">
        <v>94</v>
      </c>
      <c r="E16">
        <v>88.026300000000006</v>
      </c>
      <c r="H16">
        <v>14</v>
      </c>
      <c r="I16">
        <v>33.933300000000003</v>
      </c>
      <c r="J16">
        <v>71</v>
      </c>
      <c r="K16">
        <v>69.566699999999997</v>
      </c>
      <c r="N16">
        <v>14</v>
      </c>
      <c r="O16">
        <v>32.470599999999997</v>
      </c>
      <c r="P16">
        <v>86</v>
      </c>
      <c r="Q16">
        <v>93.411799999999999</v>
      </c>
      <c r="T16">
        <v>14</v>
      </c>
      <c r="U16">
        <v>45</v>
      </c>
      <c r="V16">
        <v>76</v>
      </c>
      <c r="W16">
        <v>89.791700000000006</v>
      </c>
      <c r="Z16">
        <v>14</v>
      </c>
      <c r="AA16">
        <v>31.642900000000001</v>
      </c>
      <c r="AB16">
        <v>84</v>
      </c>
      <c r="AC16">
        <v>91.142899999999997</v>
      </c>
      <c r="AF16">
        <v>14</v>
      </c>
      <c r="AG16">
        <v>33.678600000000003</v>
      </c>
      <c r="AH16">
        <v>81</v>
      </c>
      <c r="AI16">
        <v>85.178600000000003</v>
      </c>
      <c r="AL16">
        <v>14</v>
      </c>
      <c r="AM16">
        <v>34.533299999999997</v>
      </c>
      <c r="AN16">
        <v>86</v>
      </c>
      <c r="AO16">
        <v>86.133300000000006</v>
      </c>
      <c r="AR16">
        <v>14</v>
      </c>
      <c r="AS16">
        <v>37.655200000000001</v>
      </c>
      <c r="AT16">
        <v>68</v>
      </c>
      <c r="AU16">
        <v>76.758600000000001</v>
      </c>
      <c r="AX16">
        <v>14</v>
      </c>
      <c r="AY16">
        <v>25.666699999999999</v>
      </c>
      <c r="AZ16">
        <v>83</v>
      </c>
      <c r="BA16">
        <v>67.291700000000006</v>
      </c>
      <c r="BD16">
        <v>14</v>
      </c>
      <c r="BE16">
        <v>70.656199999999998</v>
      </c>
      <c r="BF16">
        <v>69</v>
      </c>
      <c r="BG16">
        <v>86.1875</v>
      </c>
      <c r="BJ16">
        <v>14</v>
      </c>
      <c r="BK16">
        <v>38.950000000000003</v>
      </c>
      <c r="BL16">
        <v>75</v>
      </c>
      <c r="BM16">
        <v>64.05</v>
      </c>
      <c r="BP16">
        <v>14</v>
      </c>
      <c r="BQ16">
        <v>42.379300000000001</v>
      </c>
      <c r="BR16">
        <v>72</v>
      </c>
      <c r="BS16">
        <v>90.620699999999999</v>
      </c>
      <c r="BV16">
        <v>14</v>
      </c>
      <c r="BW16">
        <v>35.878799999999998</v>
      </c>
      <c r="BX16">
        <v>81</v>
      </c>
      <c r="BY16">
        <v>71.757599999999996</v>
      </c>
      <c r="CB16">
        <v>14</v>
      </c>
      <c r="CC16">
        <v>25.5152</v>
      </c>
      <c r="CD16">
        <v>89</v>
      </c>
      <c r="CE16">
        <v>75.2727</v>
      </c>
      <c r="CH16">
        <v>14</v>
      </c>
      <c r="CI16">
        <v>33.194400000000002</v>
      </c>
      <c r="CJ16">
        <v>91</v>
      </c>
      <c r="CK16">
        <v>85.277799999999999</v>
      </c>
      <c r="CN16">
        <v>14</v>
      </c>
      <c r="CO16">
        <v>36.1282</v>
      </c>
      <c r="CP16">
        <v>82</v>
      </c>
      <c r="CQ16">
        <v>87.358999999999995</v>
      </c>
      <c r="CT16">
        <v>14</v>
      </c>
      <c r="CU16">
        <v>36.514299999999999</v>
      </c>
      <c r="CV16">
        <v>84</v>
      </c>
      <c r="CW16">
        <v>61.1143</v>
      </c>
      <c r="CZ16">
        <v>14</v>
      </c>
      <c r="DA16">
        <v>30.9512</v>
      </c>
      <c r="DB16">
        <v>105</v>
      </c>
      <c r="DC16">
        <v>110.0488</v>
      </c>
      <c r="DF16">
        <v>14</v>
      </c>
      <c r="DG16">
        <v>33.133299999999998</v>
      </c>
      <c r="DH16">
        <v>91</v>
      </c>
      <c r="DI16">
        <v>90.933300000000003</v>
      </c>
    </row>
    <row r="17" spans="2:113" x14ac:dyDescent="0.3">
      <c r="B17">
        <v>15</v>
      </c>
      <c r="C17">
        <v>39.710500000000003</v>
      </c>
      <c r="D17">
        <v>95</v>
      </c>
      <c r="E17">
        <v>86.473699999999994</v>
      </c>
      <c r="H17">
        <v>15</v>
      </c>
      <c r="I17">
        <v>34.4</v>
      </c>
      <c r="J17">
        <v>72</v>
      </c>
      <c r="K17">
        <v>66.7667</v>
      </c>
      <c r="N17">
        <v>15</v>
      </c>
      <c r="O17">
        <v>32.735300000000002</v>
      </c>
      <c r="P17">
        <v>87</v>
      </c>
      <c r="Q17">
        <v>92.088200000000001</v>
      </c>
      <c r="T17">
        <v>15</v>
      </c>
      <c r="U17">
        <v>45.875</v>
      </c>
      <c r="V17">
        <v>77</v>
      </c>
      <c r="W17">
        <v>86</v>
      </c>
      <c r="Z17">
        <v>15</v>
      </c>
      <c r="AA17">
        <v>32.607100000000003</v>
      </c>
      <c r="AB17">
        <v>85</v>
      </c>
      <c r="AC17">
        <v>89.821399999999997</v>
      </c>
      <c r="AF17">
        <v>15</v>
      </c>
      <c r="AG17">
        <v>34.357100000000003</v>
      </c>
      <c r="AH17">
        <v>82</v>
      </c>
      <c r="AI17">
        <v>82.964299999999994</v>
      </c>
      <c r="AL17">
        <v>15</v>
      </c>
      <c r="AM17">
        <v>34.633299999999998</v>
      </c>
      <c r="AN17">
        <v>87</v>
      </c>
      <c r="AO17">
        <v>82.3</v>
      </c>
      <c r="AR17">
        <v>15</v>
      </c>
      <c r="AS17">
        <v>39.137900000000002</v>
      </c>
      <c r="AT17">
        <v>69</v>
      </c>
      <c r="AU17">
        <v>75.103399999999993</v>
      </c>
      <c r="AX17">
        <v>15</v>
      </c>
      <c r="AY17">
        <v>25.5</v>
      </c>
      <c r="AZ17">
        <v>84</v>
      </c>
      <c r="BA17">
        <v>66.916700000000006</v>
      </c>
      <c r="BD17">
        <v>15</v>
      </c>
      <c r="BE17">
        <v>70.625</v>
      </c>
      <c r="BF17">
        <v>70</v>
      </c>
      <c r="BG17">
        <v>84.031199999999998</v>
      </c>
      <c r="BJ17">
        <v>15</v>
      </c>
      <c r="BK17">
        <v>39.950000000000003</v>
      </c>
      <c r="BL17">
        <v>76</v>
      </c>
      <c r="BM17">
        <v>62.15</v>
      </c>
      <c r="BP17">
        <v>15</v>
      </c>
      <c r="BQ17">
        <v>43.827599999999997</v>
      </c>
      <c r="BR17">
        <v>73</v>
      </c>
      <c r="BS17">
        <v>88.862099999999998</v>
      </c>
      <c r="BV17">
        <v>15</v>
      </c>
      <c r="BW17">
        <v>36.121200000000002</v>
      </c>
      <c r="BX17">
        <v>82</v>
      </c>
      <c r="BY17">
        <v>71.121200000000002</v>
      </c>
      <c r="CB17">
        <v>15</v>
      </c>
      <c r="CC17">
        <v>25.9697</v>
      </c>
      <c r="CD17">
        <v>90</v>
      </c>
      <c r="CE17">
        <v>73.363600000000005</v>
      </c>
      <c r="CH17">
        <v>15</v>
      </c>
      <c r="CI17">
        <v>33.916699999999999</v>
      </c>
      <c r="CJ17">
        <v>92</v>
      </c>
      <c r="CK17">
        <v>85.194400000000002</v>
      </c>
      <c r="CN17">
        <v>15</v>
      </c>
      <c r="CO17">
        <v>36.333300000000001</v>
      </c>
      <c r="CP17">
        <v>83</v>
      </c>
      <c r="CQ17">
        <v>85.333299999999994</v>
      </c>
      <c r="CT17">
        <v>15</v>
      </c>
      <c r="CU17">
        <v>36.257100000000001</v>
      </c>
      <c r="CV17">
        <v>85</v>
      </c>
      <c r="CW17">
        <v>61.4</v>
      </c>
      <c r="CZ17">
        <v>15</v>
      </c>
      <c r="DA17">
        <v>32.365900000000003</v>
      </c>
      <c r="DB17">
        <v>106</v>
      </c>
      <c r="DC17">
        <v>107.43899999999999</v>
      </c>
      <c r="DF17">
        <v>15</v>
      </c>
      <c r="DG17">
        <v>34.6</v>
      </c>
      <c r="DH17">
        <v>92</v>
      </c>
      <c r="DI17">
        <v>89.933300000000003</v>
      </c>
    </row>
    <row r="18" spans="2:113" x14ac:dyDescent="0.3">
      <c r="B18">
        <v>16</v>
      </c>
      <c r="C18">
        <v>40.342100000000002</v>
      </c>
      <c r="D18">
        <v>96</v>
      </c>
      <c r="E18">
        <v>84.421099999999996</v>
      </c>
      <c r="H18">
        <v>16</v>
      </c>
      <c r="I18">
        <v>34.866700000000002</v>
      </c>
      <c r="J18">
        <v>73</v>
      </c>
      <c r="K18">
        <v>64.066699999999997</v>
      </c>
      <c r="N18">
        <v>16</v>
      </c>
      <c r="O18">
        <v>33.058799999999998</v>
      </c>
      <c r="P18">
        <v>88</v>
      </c>
      <c r="Q18">
        <v>90.764700000000005</v>
      </c>
      <c r="T18">
        <v>16</v>
      </c>
      <c r="U18">
        <v>46.5</v>
      </c>
      <c r="V18">
        <v>78</v>
      </c>
      <c r="W18">
        <v>82.625</v>
      </c>
      <c r="Z18">
        <v>16</v>
      </c>
      <c r="AA18">
        <v>33.607100000000003</v>
      </c>
      <c r="AB18">
        <v>86</v>
      </c>
      <c r="AC18">
        <v>89.142899999999997</v>
      </c>
      <c r="AF18">
        <v>16</v>
      </c>
      <c r="AG18">
        <v>35.035699999999999</v>
      </c>
      <c r="AH18">
        <v>83</v>
      </c>
      <c r="AI18">
        <v>81.857100000000003</v>
      </c>
      <c r="AL18">
        <v>16</v>
      </c>
      <c r="AM18">
        <v>35.299999999999997</v>
      </c>
      <c r="AN18">
        <v>88</v>
      </c>
      <c r="AO18">
        <v>78.900000000000006</v>
      </c>
      <c r="AR18">
        <v>16</v>
      </c>
      <c r="AS18">
        <v>41.137900000000002</v>
      </c>
      <c r="AT18">
        <v>70</v>
      </c>
      <c r="AU18">
        <v>73.310299999999998</v>
      </c>
      <c r="AX18">
        <v>16</v>
      </c>
      <c r="AY18">
        <v>25.958300000000001</v>
      </c>
      <c r="AZ18">
        <v>85</v>
      </c>
      <c r="BA18">
        <v>65.5</v>
      </c>
      <c r="BD18">
        <v>16</v>
      </c>
      <c r="BE18">
        <v>69.718800000000002</v>
      </c>
      <c r="BF18">
        <v>71</v>
      </c>
      <c r="BG18">
        <v>82.125</v>
      </c>
      <c r="BJ18">
        <v>16</v>
      </c>
      <c r="BK18">
        <v>40.6</v>
      </c>
      <c r="BL18">
        <v>77</v>
      </c>
      <c r="BM18">
        <v>61.3</v>
      </c>
      <c r="BP18">
        <v>16</v>
      </c>
      <c r="BQ18">
        <v>45.241399999999999</v>
      </c>
      <c r="BR18">
        <v>74</v>
      </c>
      <c r="BS18">
        <v>86.896600000000007</v>
      </c>
      <c r="BV18">
        <v>16</v>
      </c>
      <c r="BW18">
        <v>36.697000000000003</v>
      </c>
      <c r="BX18">
        <v>83</v>
      </c>
      <c r="BY18">
        <v>71.2727</v>
      </c>
      <c r="CB18">
        <v>16</v>
      </c>
      <c r="CC18">
        <v>26.2727</v>
      </c>
      <c r="CD18">
        <v>91</v>
      </c>
      <c r="CE18">
        <v>70.030299999999997</v>
      </c>
      <c r="CH18">
        <v>16</v>
      </c>
      <c r="CI18">
        <v>34.972200000000001</v>
      </c>
      <c r="CJ18">
        <v>93</v>
      </c>
      <c r="CK18">
        <v>85.472200000000001</v>
      </c>
      <c r="CN18">
        <v>16</v>
      </c>
      <c r="CO18">
        <v>37.102600000000002</v>
      </c>
      <c r="CP18">
        <v>84</v>
      </c>
      <c r="CQ18">
        <v>83.205100000000002</v>
      </c>
      <c r="CT18">
        <v>16</v>
      </c>
      <c r="CU18">
        <v>36.200000000000003</v>
      </c>
      <c r="CV18">
        <v>86</v>
      </c>
      <c r="CW18">
        <v>62.171399999999998</v>
      </c>
      <c r="CZ18">
        <v>16</v>
      </c>
      <c r="DA18">
        <v>34.146299999999997</v>
      </c>
      <c r="DB18">
        <v>107</v>
      </c>
      <c r="DC18">
        <v>105.6585</v>
      </c>
      <c r="DF18">
        <v>16</v>
      </c>
      <c r="DG18">
        <v>35.8889</v>
      </c>
      <c r="DH18">
        <v>93</v>
      </c>
      <c r="DI18">
        <v>88.866699999999994</v>
      </c>
    </row>
    <row r="19" spans="2:113" x14ac:dyDescent="0.3">
      <c r="B19">
        <v>17</v>
      </c>
      <c r="C19">
        <v>41.447400000000002</v>
      </c>
      <c r="D19">
        <v>97</v>
      </c>
      <c r="E19">
        <v>82.552599999999998</v>
      </c>
      <c r="H19">
        <v>17</v>
      </c>
      <c r="I19">
        <v>35.200000000000003</v>
      </c>
      <c r="J19">
        <v>74</v>
      </c>
      <c r="K19">
        <v>61.4</v>
      </c>
      <c r="N19">
        <v>17</v>
      </c>
      <c r="O19">
        <v>33.647100000000002</v>
      </c>
      <c r="P19">
        <v>89</v>
      </c>
      <c r="Q19">
        <v>89.852900000000005</v>
      </c>
      <c r="T19">
        <v>17</v>
      </c>
      <c r="U19">
        <v>46.875</v>
      </c>
      <c r="V19">
        <v>79</v>
      </c>
      <c r="W19">
        <v>80.5</v>
      </c>
      <c r="Z19">
        <v>17</v>
      </c>
      <c r="AA19">
        <v>34.571399999999997</v>
      </c>
      <c r="AB19">
        <v>87</v>
      </c>
      <c r="AC19">
        <v>88.928600000000003</v>
      </c>
      <c r="AF19">
        <v>17</v>
      </c>
      <c r="AG19">
        <v>35.357100000000003</v>
      </c>
      <c r="AH19">
        <v>84</v>
      </c>
      <c r="AI19">
        <v>80.928600000000003</v>
      </c>
      <c r="AL19">
        <v>17</v>
      </c>
      <c r="AM19">
        <v>35.700000000000003</v>
      </c>
      <c r="AN19">
        <v>89</v>
      </c>
      <c r="AO19">
        <v>76.866699999999994</v>
      </c>
      <c r="AR19">
        <v>17</v>
      </c>
      <c r="AS19">
        <v>42.413800000000002</v>
      </c>
      <c r="AT19">
        <v>71</v>
      </c>
      <c r="AU19">
        <v>71.551699999999997</v>
      </c>
      <c r="AX19">
        <v>17</v>
      </c>
      <c r="AY19">
        <v>26.958300000000001</v>
      </c>
      <c r="AZ19">
        <v>86</v>
      </c>
      <c r="BA19">
        <v>63.458300000000001</v>
      </c>
      <c r="BD19">
        <v>17</v>
      </c>
      <c r="BE19">
        <v>69.5</v>
      </c>
      <c r="BF19">
        <v>72</v>
      </c>
      <c r="BG19">
        <v>80.531199999999998</v>
      </c>
      <c r="BJ19">
        <v>17</v>
      </c>
      <c r="BK19">
        <v>41.2</v>
      </c>
      <c r="BL19">
        <v>78</v>
      </c>
      <c r="BM19">
        <v>60.9</v>
      </c>
      <c r="BP19">
        <v>17</v>
      </c>
      <c r="BQ19">
        <v>46.103400000000001</v>
      </c>
      <c r="BR19">
        <v>75</v>
      </c>
      <c r="BS19">
        <v>84.862099999999998</v>
      </c>
      <c r="BV19">
        <v>17</v>
      </c>
      <c r="BW19">
        <v>37.5152</v>
      </c>
      <c r="BX19">
        <v>84</v>
      </c>
      <c r="BY19">
        <v>71.393900000000002</v>
      </c>
      <c r="CB19">
        <v>17</v>
      </c>
      <c r="CC19">
        <v>26.636399999999998</v>
      </c>
      <c r="CD19">
        <v>92</v>
      </c>
      <c r="CE19">
        <v>66.909099999999995</v>
      </c>
      <c r="CH19">
        <v>17</v>
      </c>
      <c r="CI19">
        <v>36.527799999999999</v>
      </c>
      <c r="CJ19">
        <v>94</v>
      </c>
      <c r="CK19">
        <v>84.861099999999993</v>
      </c>
      <c r="CN19">
        <v>17</v>
      </c>
      <c r="CO19">
        <v>37.846200000000003</v>
      </c>
      <c r="CP19">
        <v>85</v>
      </c>
      <c r="CQ19">
        <v>81.256399999999999</v>
      </c>
      <c r="CT19">
        <v>17</v>
      </c>
      <c r="CU19">
        <v>36.828600000000002</v>
      </c>
      <c r="CV19">
        <v>87</v>
      </c>
      <c r="CW19">
        <v>63.6</v>
      </c>
      <c r="CZ19">
        <v>17</v>
      </c>
      <c r="DA19">
        <v>35.634099999999997</v>
      </c>
      <c r="DB19">
        <v>108</v>
      </c>
      <c r="DC19">
        <v>104.0244</v>
      </c>
      <c r="DF19">
        <v>17</v>
      </c>
      <c r="DG19">
        <v>37.066699999999997</v>
      </c>
      <c r="DH19">
        <v>94</v>
      </c>
      <c r="DI19">
        <v>87.755600000000001</v>
      </c>
    </row>
    <row r="20" spans="2:113" x14ac:dyDescent="0.3">
      <c r="B20">
        <v>18</v>
      </c>
      <c r="C20">
        <v>42.526299999999999</v>
      </c>
      <c r="D20">
        <v>98</v>
      </c>
      <c r="E20">
        <v>81.684200000000004</v>
      </c>
      <c r="H20">
        <v>18</v>
      </c>
      <c r="I20">
        <v>35.533299999999997</v>
      </c>
      <c r="J20">
        <v>75</v>
      </c>
      <c r="K20">
        <v>59.6</v>
      </c>
      <c r="N20">
        <v>18</v>
      </c>
      <c r="O20">
        <v>34.117600000000003</v>
      </c>
      <c r="P20">
        <v>90</v>
      </c>
      <c r="Q20">
        <v>89.617599999999996</v>
      </c>
      <c r="T20">
        <v>18</v>
      </c>
      <c r="U20">
        <v>47.916699999999999</v>
      </c>
      <c r="V20">
        <v>80</v>
      </c>
      <c r="W20">
        <v>79</v>
      </c>
      <c r="Z20">
        <v>18</v>
      </c>
      <c r="AA20">
        <v>35.285699999999999</v>
      </c>
      <c r="AB20">
        <v>88</v>
      </c>
      <c r="AC20">
        <v>88.928600000000003</v>
      </c>
      <c r="AF20">
        <v>18</v>
      </c>
      <c r="AG20">
        <v>35.821399999999997</v>
      </c>
      <c r="AH20">
        <v>85</v>
      </c>
      <c r="AI20">
        <v>79.75</v>
      </c>
      <c r="AL20">
        <v>18</v>
      </c>
      <c r="AM20">
        <v>36.200000000000003</v>
      </c>
      <c r="AN20">
        <v>90</v>
      </c>
      <c r="AO20">
        <v>75.5</v>
      </c>
      <c r="AR20">
        <v>18</v>
      </c>
      <c r="AS20">
        <v>43</v>
      </c>
      <c r="AT20">
        <v>72</v>
      </c>
      <c r="AU20">
        <v>69.793099999999995</v>
      </c>
      <c r="AX20">
        <v>18</v>
      </c>
      <c r="AY20">
        <v>28.625</v>
      </c>
      <c r="AZ20">
        <v>87</v>
      </c>
      <c r="BA20">
        <v>61.333300000000001</v>
      </c>
      <c r="BD20">
        <v>18</v>
      </c>
      <c r="BE20">
        <v>70.218800000000002</v>
      </c>
      <c r="BF20">
        <v>73</v>
      </c>
      <c r="BG20">
        <v>79.093800000000002</v>
      </c>
      <c r="BJ20">
        <v>18</v>
      </c>
      <c r="BK20">
        <v>41.45</v>
      </c>
      <c r="BL20">
        <v>79</v>
      </c>
      <c r="BM20">
        <v>59.85</v>
      </c>
      <c r="BP20">
        <v>18</v>
      </c>
      <c r="BQ20">
        <v>46.7241</v>
      </c>
      <c r="BR20">
        <v>76</v>
      </c>
      <c r="BS20">
        <v>82.344800000000006</v>
      </c>
      <c r="BV20">
        <v>18</v>
      </c>
      <c r="BW20">
        <v>38.666699999999999</v>
      </c>
      <c r="BX20">
        <v>85</v>
      </c>
      <c r="BY20">
        <v>71.424199999999999</v>
      </c>
      <c r="CB20">
        <v>18</v>
      </c>
      <c r="CC20">
        <v>27.2121</v>
      </c>
      <c r="CD20">
        <v>93</v>
      </c>
      <c r="CE20">
        <v>65.090900000000005</v>
      </c>
      <c r="CH20">
        <v>18</v>
      </c>
      <c r="CI20">
        <v>38.166699999999999</v>
      </c>
      <c r="CJ20">
        <v>95</v>
      </c>
      <c r="CK20">
        <v>83.805599999999998</v>
      </c>
      <c r="CN20">
        <v>18</v>
      </c>
      <c r="CO20">
        <v>38.487200000000001</v>
      </c>
      <c r="CP20">
        <v>86</v>
      </c>
      <c r="CQ20">
        <v>78.948700000000002</v>
      </c>
      <c r="CT20">
        <v>18</v>
      </c>
      <c r="CU20">
        <v>38.428600000000003</v>
      </c>
      <c r="CV20">
        <v>88</v>
      </c>
      <c r="CW20">
        <v>66.371399999999994</v>
      </c>
      <c r="CZ20">
        <v>18</v>
      </c>
      <c r="DA20">
        <v>37.268300000000004</v>
      </c>
      <c r="DB20">
        <v>109</v>
      </c>
      <c r="DC20">
        <v>102.3171</v>
      </c>
      <c r="DF20">
        <v>18</v>
      </c>
      <c r="DG20">
        <v>38.200000000000003</v>
      </c>
      <c r="DH20">
        <v>95</v>
      </c>
      <c r="DI20">
        <v>86.666700000000006</v>
      </c>
    </row>
    <row r="21" spans="2:113" x14ac:dyDescent="0.3">
      <c r="B21">
        <v>19</v>
      </c>
      <c r="C21">
        <v>43.1053</v>
      </c>
      <c r="D21">
        <v>99</v>
      </c>
      <c r="E21">
        <v>81.710499999999996</v>
      </c>
      <c r="H21">
        <v>19</v>
      </c>
      <c r="I21">
        <v>36.166699999999999</v>
      </c>
      <c r="J21">
        <v>76</v>
      </c>
      <c r="K21">
        <v>58.2</v>
      </c>
      <c r="N21">
        <v>19</v>
      </c>
      <c r="O21">
        <v>34.7941</v>
      </c>
      <c r="P21">
        <v>91</v>
      </c>
      <c r="Q21">
        <v>88.911799999999999</v>
      </c>
      <c r="T21">
        <v>19</v>
      </c>
      <c r="U21">
        <v>49.041699999999999</v>
      </c>
      <c r="V21">
        <v>81</v>
      </c>
      <c r="W21">
        <v>77.291700000000006</v>
      </c>
      <c r="Z21">
        <v>19</v>
      </c>
      <c r="AA21">
        <v>36.321399999999997</v>
      </c>
      <c r="AB21">
        <v>89</v>
      </c>
      <c r="AC21">
        <v>88.214299999999994</v>
      </c>
      <c r="AF21">
        <v>19</v>
      </c>
      <c r="AG21">
        <v>36.964300000000001</v>
      </c>
      <c r="AH21">
        <v>86</v>
      </c>
      <c r="AI21">
        <v>77.928600000000003</v>
      </c>
      <c r="AL21">
        <v>19</v>
      </c>
      <c r="AM21">
        <v>36</v>
      </c>
      <c r="AN21">
        <v>91</v>
      </c>
      <c r="AO21">
        <v>74.2333</v>
      </c>
      <c r="AR21">
        <v>19</v>
      </c>
      <c r="AS21">
        <v>44.206899999999997</v>
      </c>
      <c r="AT21">
        <v>73</v>
      </c>
      <c r="AU21">
        <v>68.275899999999993</v>
      </c>
      <c r="AX21">
        <v>19</v>
      </c>
      <c r="AY21">
        <v>29.333300000000001</v>
      </c>
      <c r="AZ21">
        <v>88</v>
      </c>
      <c r="BA21">
        <v>59.666699999999999</v>
      </c>
      <c r="BD21">
        <v>19</v>
      </c>
      <c r="BE21">
        <v>70.375</v>
      </c>
      <c r="BF21">
        <v>74</v>
      </c>
      <c r="BG21">
        <v>77.781199999999998</v>
      </c>
      <c r="BJ21">
        <v>19</v>
      </c>
      <c r="BK21">
        <v>41.7</v>
      </c>
      <c r="BL21">
        <v>80</v>
      </c>
      <c r="BM21">
        <v>58.45</v>
      </c>
      <c r="BP21">
        <v>19</v>
      </c>
      <c r="BQ21">
        <v>48.103400000000001</v>
      </c>
      <c r="BR21">
        <v>77</v>
      </c>
      <c r="BS21">
        <v>79.172399999999996</v>
      </c>
      <c r="BV21">
        <v>19</v>
      </c>
      <c r="BW21">
        <v>39.7273</v>
      </c>
      <c r="BX21">
        <v>86</v>
      </c>
      <c r="BY21">
        <v>71.454499999999996</v>
      </c>
      <c r="CB21">
        <v>19</v>
      </c>
      <c r="CC21">
        <v>28.7879</v>
      </c>
      <c r="CD21">
        <v>94</v>
      </c>
      <c r="CE21">
        <v>63.151499999999999</v>
      </c>
      <c r="CH21">
        <v>19</v>
      </c>
      <c r="CI21">
        <v>39.583300000000001</v>
      </c>
      <c r="CJ21">
        <v>96</v>
      </c>
      <c r="CK21">
        <v>82.916700000000006</v>
      </c>
      <c r="CN21">
        <v>19</v>
      </c>
      <c r="CO21">
        <v>39.820500000000003</v>
      </c>
      <c r="CP21">
        <v>87</v>
      </c>
      <c r="CQ21">
        <v>76.205100000000002</v>
      </c>
      <c r="CT21">
        <v>19</v>
      </c>
      <c r="CU21">
        <v>39.828600000000002</v>
      </c>
      <c r="CV21">
        <v>89</v>
      </c>
      <c r="CW21">
        <v>69.142899999999997</v>
      </c>
      <c r="CZ21">
        <v>19</v>
      </c>
      <c r="DA21">
        <v>38.658499999999997</v>
      </c>
      <c r="DB21">
        <v>110</v>
      </c>
      <c r="DC21">
        <v>100.53660000000001</v>
      </c>
      <c r="DF21">
        <v>19</v>
      </c>
      <c r="DG21">
        <v>39.244399999999999</v>
      </c>
      <c r="DH21">
        <v>96</v>
      </c>
      <c r="DI21">
        <v>85.177800000000005</v>
      </c>
    </row>
    <row r="22" spans="2:113" x14ac:dyDescent="0.3">
      <c r="B22">
        <v>20</v>
      </c>
      <c r="C22">
        <v>43.842100000000002</v>
      </c>
      <c r="D22">
        <v>100</v>
      </c>
      <c r="E22">
        <v>81.973699999999994</v>
      </c>
      <c r="H22">
        <v>20</v>
      </c>
      <c r="I22">
        <v>36.299999999999997</v>
      </c>
      <c r="J22">
        <v>77</v>
      </c>
      <c r="K22">
        <v>56.133299999999998</v>
      </c>
      <c r="N22">
        <v>20</v>
      </c>
      <c r="O22">
        <v>35.647100000000002</v>
      </c>
      <c r="P22">
        <v>92</v>
      </c>
      <c r="Q22">
        <v>88.7941</v>
      </c>
      <c r="T22">
        <v>20</v>
      </c>
      <c r="U22">
        <v>50.458300000000001</v>
      </c>
      <c r="V22">
        <v>82</v>
      </c>
      <c r="W22">
        <v>75.416700000000006</v>
      </c>
      <c r="Z22">
        <v>20</v>
      </c>
      <c r="AA22">
        <v>37.678600000000003</v>
      </c>
      <c r="AB22">
        <v>90</v>
      </c>
      <c r="AC22">
        <v>86.642899999999997</v>
      </c>
      <c r="AF22">
        <v>20</v>
      </c>
      <c r="AG22">
        <v>37.392899999999997</v>
      </c>
      <c r="AH22">
        <v>87</v>
      </c>
      <c r="AI22">
        <v>75.857100000000003</v>
      </c>
      <c r="AL22">
        <v>20</v>
      </c>
      <c r="AM22">
        <v>35.6</v>
      </c>
      <c r="AN22">
        <v>92</v>
      </c>
      <c r="AO22">
        <v>72.333299999999994</v>
      </c>
      <c r="AR22">
        <v>20</v>
      </c>
      <c r="AS22">
        <v>44.827599999999997</v>
      </c>
      <c r="AT22">
        <v>74</v>
      </c>
      <c r="AU22">
        <v>66.930999999999997</v>
      </c>
      <c r="AX22">
        <v>20</v>
      </c>
      <c r="AY22">
        <v>29.708300000000001</v>
      </c>
      <c r="AZ22">
        <v>89</v>
      </c>
      <c r="BA22">
        <v>58.833300000000001</v>
      </c>
      <c r="BD22">
        <v>20</v>
      </c>
      <c r="BE22">
        <v>70</v>
      </c>
      <c r="BF22">
        <v>75</v>
      </c>
      <c r="BG22">
        <v>76.406199999999998</v>
      </c>
      <c r="BJ22">
        <v>20</v>
      </c>
      <c r="BK22">
        <v>42.45</v>
      </c>
      <c r="BL22">
        <v>81</v>
      </c>
      <c r="BM22">
        <v>56.5</v>
      </c>
      <c r="BP22">
        <v>20</v>
      </c>
      <c r="BQ22">
        <v>50</v>
      </c>
      <c r="BR22">
        <v>78</v>
      </c>
      <c r="BS22">
        <v>76.689700000000002</v>
      </c>
      <c r="BV22">
        <v>20</v>
      </c>
      <c r="BW22">
        <v>40.333300000000001</v>
      </c>
      <c r="BX22">
        <v>87</v>
      </c>
      <c r="BY22">
        <v>71.757599999999996</v>
      </c>
      <c r="CB22">
        <v>20</v>
      </c>
      <c r="CC22">
        <v>30.696999999999999</v>
      </c>
      <c r="CD22">
        <v>95</v>
      </c>
      <c r="CE22">
        <v>61</v>
      </c>
      <c r="CH22">
        <v>20</v>
      </c>
      <c r="CI22">
        <v>41.416699999999999</v>
      </c>
      <c r="CJ22">
        <v>97</v>
      </c>
      <c r="CK22">
        <v>82.944400000000002</v>
      </c>
      <c r="CN22">
        <v>20</v>
      </c>
      <c r="CO22">
        <v>41.8718</v>
      </c>
      <c r="CP22">
        <v>88</v>
      </c>
      <c r="CQ22">
        <v>72.615399999999994</v>
      </c>
      <c r="CT22">
        <v>20</v>
      </c>
      <c r="CU22">
        <v>40.799999999999997</v>
      </c>
      <c r="CV22">
        <v>90</v>
      </c>
      <c r="CW22">
        <v>70.599999999999994</v>
      </c>
      <c r="CZ22">
        <v>20</v>
      </c>
      <c r="DA22">
        <v>40.0488</v>
      </c>
      <c r="DB22">
        <v>111</v>
      </c>
      <c r="DC22">
        <v>98.317099999999996</v>
      </c>
      <c r="DF22">
        <v>20</v>
      </c>
      <c r="DG22">
        <v>40.444400000000002</v>
      </c>
      <c r="DH22">
        <v>97</v>
      </c>
      <c r="DI22">
        <v>83.355599999999995</v>
      </c>
    </row>
    <row r="23" spans="2:113" x14ac:dyDescent="0.3">
      <c r="B23">
        <v>21</v>
      </c>
      <c r="C23">
        <v>44.657899999999998</v>
      </c>
      <c r="D23">
        <v>101</v>
      </c>
      <c r="E23">
        <v>81.684200000000004</v>
      </c>
      <c r="H23">
        <v>21</v>
      </c>
      <c r="I23">
        <v>36.433300000000003</v>
      </c>
      <c r="J23">
        <v>78</v>
      </c>
      <c r="K23">
        <v>54.4</v>
      </c>
      <c r="N23">
        <v>21</v>
      </c>
      <c r="O23">
        <v>36.264699999999998</v>
      </c>
      <c r="P23">
        <v>93</v>
      </c>
      <c r="Q23">
        <v>88.588200000000001</v>
      </c>
      <c r="T23">
        <v>21</v>
      </c>
      <c r="U23">
        <v>51.791699999999999</v>
      </c>
      <c r="V23">
        <v>83</v>
      </c>
      <c r="W23">
        <v>73.666700000000006</v>
      </c>
      <c r="Z23">
        <v>21</v>
      </c>
      <c r="AA23">
        <v>38.428600000000003</v>
      </c>
      <c r="AB23">
        <v>91</v>
      </c>
      <c r="AC23">
        <v>84.964299999999994</v>
      </c>
      <c r="AF23">
        <v>21</v>
      </c>
      <c r="AG23">
        <v>36.392899999999997</v>
      </c>
      <c r="AH23">
        <v>88</v>
      </c>
      <c r="AI23">
        <v>74</v>
      </c>
      <c r="AL23">
        <v>21</v>
      </c>
      <c r="AM23">
        <v>36.066699999999997</v>
      </c>
      <c r="AN23">
        <v>93</v>
      </c>
      <c r="AO23">
        <v>70.8</v>
      </c>
      <c r="AR23">
        <v>21</v>
      </c>
      <c r="AS23">
        <v>45.413800000000002</v>
      </c>
      <c r="AT23">
        <v>75</v>
      </c>
      <c r="AU23">
        <v>65.448300000000003</v>
      </c>
      <c r="AX23">
        <v>21</v>
      </c>
      <c r="AY23">
        <v>30.208300000000001</v>
      </c>
      <c r="AZ23">
        <v>90</v>
      </c>
      <c r="BA23">
        <v>58.333300000000001</v>
      </c>
      <c r="BD23">
        <v>21</v>
      </c>
      <c r="BE23">
        <v>69.718800000000002</v>
      </c>
      <c r="BF23">
        <v>76</v>
      </c>
      <c r="BG23">
        <v>75.093800000000002</v>
      </c>
      <c r="BJ23">
        <v>21</v>
      </c>
      <c r="BK23">
        <v>43.5</v>
      </c>
      <c r="BL23">
        <v>82</v>
      </c>
      <c r="BM23">
        <v>54.6</v>
      </c>
      <c r="BP23">
        <v>21</v>
      </c>
      <c r="BQ23">
        <v>52.413800000000002</v>
      </c>
      <c r="BR23">
        <v>79</v>
      </c>
      <c r="BS23">
        <v>74.724100000000007</v>
      </c>
      <c r="BV23">
        <v>21</v>
      </c>
      <c r="BW23">
        <v>41.060600000000001</v>
      </c>
      <c r="BX23">
        <v>88</v>
      </c>
      <c r="BY23">
        <v>72.090900000000005</v>
      </c>
      <c r="CB23">
        <v>21</v>
      </c>
      <c r="CC23">
        <v>32.666699999999999</v>
      </c>
      <c r="CD23">
        <v>96</v>
      </c>
      <c r="CE23">
        <v>58.909100000000002</v>
      </c>
      <c r="CH23">
        <v>21</v>
      </c>
      <c r="CI23">
        <v>42.8611</v>
      </c>
      <c r="CJ23">
        <v>98</v>
      </c>
      <c r="CK23">
        <v>82.888900000000007</v>
      </c>
      <c r="CN23">
        <v>21</v>
      </c>
      <c r="CO23">
        <v>43.820500000000003</v>
      </c>
      <c r="CP23">
        <v>89</v>
      </c>
      <c r="CQ23">
        <v>69.076899999999995</v>
      </c>
      <c r="CT23">
        <v>21</v>
      </c>
      <c r="CU23">
        <v>41.371400000000001</v>
      </c>
      <c r="CV23">
        <v>91</v>
      </c>
      <c r="CW23">
        <v>70.828599999999994</v>
      </c>
      <c r="CZ23">
        <v>21</v>
      </c>
      <c r="DA23">
        <v>40.4634</v>
      </c>
      <c r="DB23">
        <v>112</v>
      </c>
      <c r="DC23">
        <v>97</v>
      </c>
      <c r="DF23">
        <v>21</v>
      </c>
      <c r="DG23">
        <v>41.511099999999999</v>
      </c>
      <c r="DH23">
        <v>98</v>
      </c>
      <c r="DI23">
        <v>81.622200000000007</v>
      </c>
    </row>
    <row r="24" spans="2:113" x14ac:dyDescent="0.3">
      <c r="B24">
        <v>22</v>
      </c>
      <c r="C24">
        <v>44.973700000000001</v>
      </c>
      <c r="D24">
        <v>102</v>
      </c>
      <c r="E24">
        <v>80.342100000000002</v>
      </c>
      <c r="H24">
        <v>22</v>
      </c>
      <c r="I24">
        <v>36.7667</v>
      </c>
      <c r="J24">
        <v>79</v>
      </c>
      <c r="K24">
        <v>53.2</v>
      </c>
      <c r="N24">
        <v>22</v>
      </c>
      <c r="O24">
        <v>37.029400000000003</v>
      </c>
      <c r="P24">
        <v>94</v>
      </c>
      <c r="Q24">
        <v>87.176500000000004</v>
      </c>
      <c r="T24">
        <v>22</v>
      </c>
      <c r="U24">
        <v>53.5</v>
      </c>
      <c r="V24">
        <v>84</v>
      </c>
      <c r="W24">
        <v>70.875</v>
      </c>
      <c r="Z24">
        <v>22</v>
      </c>
      <c r="AA24">
        <v>38.5</v>
      </c>
      <c r="AB24">
        <v>92</v>
      </c>
      <c r="AC24">
        <v>83.392899999999997</v>
      </c>
      <c r="AF24">
        <v>22</v>
      </c>
      <c r="AG24">
        <v>35.428600000000003</v>
      </c>
      <c r="AH24">
        <v>89</v>
      </c>
      <c r="AI24">
        <v>72.071399999999997</v>
      </c>
      <c r="AL24">
        <v>22</v>
      </c>
      <c r="AM24">
        <v>37.066699999999997</v>
      </c>
      <c r="AN24">
        <v>94</v>
      </c>
      <c r="AO24">
        <v>70.466700000000003</v>
      </c>
      <c r="AR24">
        <v>22</v>
      </c>
      <c r="AS24">
        <v>46.241399999999999</v>
      </c>
      <c r="AT24">
        <v>76</v>
      </c>
      <c r="AU24">
        <v>64.103399999999993</v>
      </c>
      <c r="AX24">
        <v>22</v>
      </c>
      <c r="AY24">
        <v>31.25</v>
      </c>
      <c r="AZ24">
        <v>91</v>
      </c>
      <c r="BA24">
        <v>57.75</v>
      </c>
      <c r="BD24">
        <v>22</v>
      </c>
      <c r="BE24">
        <v>69.625</v>
      </c>
      <c r="BF24">
        <v>77</v>
      </c>
      <c r="BG24">
        <v>73.9375</v>
      </c>
      <c r="BJ24">
        <v>22</v>
      </c>
      <c r="BK24">
        <v>44.45</v>
      </c>
      <c r="BL24">
        <v>83</v>
      </c>
      <c r="BM24">
        <v>53.85</v>
      </c>
      <c r="BP24">
        <v>22</v>
      </c>
      <c r="BQ24">
        <v>53.655200000000001</v>
      </c>
      <c r="BR24">
        <v>80</v>
      </c>
      <c r="BS24">
        <v>72.586200000000005</v>
      </c>
      <c r="BV24">
        <v>22</v>
      </c>
      <c r="BW24">
        <v>41.878799999999998</v>
      </c>
      <c r="BX24">
        <v>89</v>
      </c>
      <c r="BY24">
        <v>72.151499999999999</v>
      </c>
      <c r="CB24">
        <v>22</v>
      </c>
      <c r="CC24">
        <v>34.090899999999998</v>
      </c>
      <c r="CD24">
        <v>97</v>
      </c>
      <c r="CE24">
        <v>56.575800000000001</v>
      </c>
      <c r="CH24">
        <v>22</v>
      </c>
      <c r="CI24">
        <v>43.694400000000002</v>
      </c>
      <c r="CJ24">
        <v>99</v>
      </c>
      <c r="CK24">
        <v>82.527799999999999</v>
      </c>
      <c r="CN24">
        <v>22</v>
      </c>
      <c r="CO24">
        <v>45.461500000000001</v>
      </c>
      <c r="CP24">
        <v>90</v>
      </c>
      <c r="CQ24">
        <v>65.923100000000005</v>
      </c>
      <c r="CT24">
        <v>22</v>
      </c>
      <c r="CU24">
        <v>41.7714</v>
      </c>
      <c r="CV24">
        <v>92</v>
      </c>
      <c r="CW24">
        <v>69.314300000000003</v>
      </c>
      <c r="CZ24">
        <v>22</v>
      </c>
      <c r="DA24">
        <v>40.707299999999996</v>
      </c>
      <c r="DB24">
        <v>113</v>
      </c>
      <c r="DC24">
        <v>96.731700000000004</v>
      </c>
      <c r="DF24">
        <v>22</v>
      </c>
      <c r="DG24">
        <v>41.911099999999998</v>
      </c>
      <c r="DH24">
        <v>99</v>
      </c>
      <c r="DI24">
        <v>80.244399999999999</v>
      </c>
    </row>
    <row r="25" spans="2:113" x14ac:dyDescent="0.3">
      <c r="B25">
        <v>23</v>
      </c>
      <c r="C25">
        <v>45.263199999999998</v>
      </c>
      <c r="D25">
        <v>103</v>
      </c>
      <c r="E25">
        <v>79.3947</v>
      </c>
      <c r="H25">
        <v>23</v>
      </c>
      <c r="I25">
        <v>37.666699999999999</v>
      </c>
      <c r="J25">
        <v>80</v>
      </c>
      <c r="K25">
        <v>52.066699999999997</v>
      </c>
      <c r="N25">
        <v>23</v>
      </c>
      <c r="O25">
        <v>37.970599999999997</v>
      </c>
      <c r="P25">
        <v>95</v>
      </c>
      <c r="Q25">
        <v>84.941199999999995</v>
      </c>
      <c r="T25">
        <v>23</v>
      </c>
      <c r="U25">
        <v>55.541699999999999</v>
      </c>
      <c r="V25">
        <v>85</v>
      </c>
      <c r="W25">
        <v>67.125</v>
      </c>
      <c r="Z25">
        <v>23</v>
      </c>
      <c r="AA25">
        <v>39.821399999999997</v>
      </c>
      <c r="AB25">
        <v>93</v>
      </c>
      <c r="AC25">
        <v>83.035700000000006</v>
      </c>
      <c r="AF25">
        <v>23</v>
      </c>
      <c r="AG25">
        <v>35.857100000000003</v>
      </c>
      <c r="AH25">
        <v>90</v>
      </c>
      <c r="AI25">
        <v>69.821399999999997</v>
      </c>
      <c r="AL25">
        <v>23</v>
      </c>
      <c r="AM25">
        <v>37.933300000000003</v>
      </c>
      <c r="AN25">
        <v>95</v>
      </c>
      <c r="AO25">
        <v>69.8</v>
      </c>
      <c r="AR25">
        <v>23</v>
      </c>
      <c r="AS25">
        <v>47.758600000000001</v>
      </c>
      <c r="AT25">
        <v>77</v>
      </c>
      <c r="AU25">
        <v>63.172400000000003</v>
      </c>
      <c r="AX25">
        <v>23</v>
      </c>
      <c r="AY25">
        <v>32.333300000000001</v>
      </c>
      <c r="AZ25">
        <v>92</v>
      </c>
      <c r="BA25">
        <v>56.666699999999999</v>
      </c>
      <c r="BD25">
        <v>23</v>
      </c>
      <c r="BE25">
        <v>69.5625</v>
      </c>
      <c r="BF25">
        <v>78</v>
      </c>
      <c r="BG25">
        <v>72.906199999999998</v>
      </c>
      <c r="BJ25">
        <v>23</v>
      </c>
      <c r="BK25">
        <v>44.8</v>
      </c>
      <c r="BL25">
        <v>84</v>
      </c>
      <c r="BM25">
        <v>52.35</v>
      </c>
      <c r="BP25">
        <v>23</v>
      </c>
      <c r="BQ25">
        <v>54.379300000000001</v>
      </c>
      <c r="BR25">
        <v>81</v>
      </c>
      <c r="BS25">
        <v>70.275899999999993</v>
      </c>
      <c r="BV25">
        <v>23</v>
      </c>
      <c r="BW25">
        <v>43.333300000000001</v>
      </c>
      <c r="BX25">
        <v>90</v>
      </c>
      <c r="BY25">
        <v>71.515199999999993</v>
      </c>
      <c r="CB25">
        <v>23</v>
      </c>
      <c r="CC25">
        <v>35.151499999999999</v>
      </c>
      <c r="CD25">
        <v>98</v>
      </c>
      <c r="CE25">
        <v>54.060600000000001</v>
      </c>
      <c r="CH25">
        <v>23</v>
      </c>
      <c r="CI25">
        <v>44.027799999999999</v>
      </c>
      <c r="CJ25">
        <v>100</v>
      </c>
      <c r="CK25">
        <v>82.527799999999999</v>
      </c>
      <c r="CN25">
        <v>23</v>
      </c>
      <c r="CO25">
        <v>46.435899999999997</v>
      </c>
      <c r="CP25">
        <v>91</v>
      </c>
      <c r="CQ25">
        <v>63.153799999999997</v>
      </c>
      <c r="CT25">
        <v>23</v>
      </c>
      <c r="CU25">
        <v>42.628599999999999</v>
      </c>
      <c r="CV25">
        <v>93</v>
      </c>
      <c r="CW25">
        <v>65.971400000000003</v>
      </c>
      <c r="CZ25">
        <v>23</v>
      </c>
      <c r="DA25">
        <v>41.4146</v>
      </c>
      <c r="DB25">
        <v>114</v>
      </c>
      <c r="DC25">
        <v>95.268299999999996</v>
      </c>
      <c r="DF25">
        <v>23</v>
      </c>
      <c r="DG25">
        <v>42.066699999999997</v>
      </c>
      <c r="DH25">
        <v>100</v>
      </c>
      <c r="DI25">
        <v>78.8</v>
      </c>
    </row>
    <row r="26" spans="2:113" x14ac:dyDescent="0.3">
      <c r="B26">
        <v>24</v>
      </c>
      <c r="C26">
        <v>46.1053</v>
      </c>
      <c r="D26">
        <v>104</v>
      </c>
      <c r="E26">
        <v>78.526300000000006</v>
      </c>
      <c r="H26">
        <v>24</v>
      </c>
      <c r="I26">
        <v>38.833300000000001</v>
      </c>
      <c r="J26">
        <v>81</v>
      </c>
      <c r="K26">
        <v>50.8</v>
      </c>
      <c r="N26">
        <v>24</v>
      </c>
      <c r="O26">
        <v>39.617600000000003</v>
      </c>
      <c r="P26">
        <v>96</v>
      </c>
      <c r="Q26">
        <v>82.588200000000001</v>
      </c>
      <c r="T26">
        <v>24</v>
      </c>
      <c r="U26">
        <v>57.625</v>
      </c>
      <c r="V26">
        <v>86</v>
      </c>
      <c r="W26">
        <v>64.875</v>
      </c>
      <c r="Z26">
        <v>24</v>
      </c>
      <c r="AA26">
        <v>41.821399999999997</v>
      </c>
      <c r="AB26">
        <v>94</v>
      </c>
      <c r="AC26">
        <v>83.821399999999997</v>
      </c>
      <c r="AF26">
        <v>24</v>
      </c>
      <c r="AG26">
        <v>36.857100000000003</v>
      </c>
      <c r="AH26">
        <v>91</v>
      </c>
      <c r="AI26">
        <v>67.821399999999997</v>
      </c>
      <c r="AL26">
        <v>24</v>
      </c>
      <c r="AM26">
        <v>37.933300000000003</v>
      </c>
      <c r="AN26">
        <v>96</v>
      </c>
      <c r="AO26">
        <v>68.333299999999994</v>
      </c>
      <c r="AR26">
        <v>24</v>
      </c>
      <c r="AS26">
        <v>49.930999999999997</v>
      </c>
      <c r="AT26">
        <v>78</v>
      </c>
      <c r="AU26">
        <v>62.206899999999997</v>
      </c>
      <c r="AX26">
        <v>24</v>
      </c>
      <c r="AY26">
        <v>32.916699999999999</v>
      </c>
      <c r="AZ26">
        <v>93</v>
      </c>
      <c r="BA26">
        <v>55.875</v>
      </c>
      <c r="BD26">
        <v>24</v>
      </c>
      <c r="BE26">
        <v>69.593800000000002</v>
      </c>
      <c r="BF26">
        <v>79</v>
      </c>
      <c r="BG26">
        <v>71.9375</v>
      </c>
      <c r="BJ26">
        <v>24</v>
      </c>
      <c r="BK26">
        <v>45.1</v>
      </c>
      <c r="BL26">
        <v>85</v>
      </c>
      <c r="BM26">
        <v>50.45</v>
      </c>
      <c r="BP26">
        <v>24</v>
      </c>
      <c r="BQ26">
        <v>56</v>
      </c>
      <c r="BR26">
        <v>82</v>
      </c>
      <c r="BS26">
        <v>67.379300000000001</v>
      </c>
      <c r="BV26">
        <v>24</v>
      </c>
      <c r="BW26">
        <v>44.606099999999998</v>
      </c>
      <c r="BX26">
        <v>91</v>
      </c>
      <c r="BY26">
        <v>70.636399999999995</v>
      </c>
      <c r="CB26">
        <v>24</v>
      </c>
      <c r="CC26">
        <v>35.909100000000002</v>
      </c>
      <c r="CD26">
        <v>99</v>
      </c>
      <c r="CE26">
        <v>51.454500000000003</v>
      </c>
      <c r="CH26">
        <v>24</v>
      </c>
      <c r="CI26">
        <v>44.472200000000001</v>
      </c>
      <c r="CJ26">
        <v>101</v>
      </c>
      <c r="CK26">
        <v>81.638900000000007</v>
      </c>
      <c r="CN26">
        <v>24</v>
      </c>
      <c r="CO26">
        <v>47.461500000000001</v>
      </c>
      <c r="CP26">
        <v>92</v>
      </c>
      <c r="CQ26">
        <v>61.230800000000002</v>
      </c>
      <c r="CT26">
        <v>24</v>
      </c>
      <c r="CU26">
        <v>43.8857</v>
      </c>
      <c r="CV26">
        <v>94</v>
      </c>
      <c r="CW26">
        <v>61.6571</v>
      </c>
      <c r="CZ26">
        <v>24</v>
      </c>
      <c r="DA26">
        <v>42.439</v>
      </c>
      <c r="DB26">
        <v>115</v>
      </c>
      <c r="DC26">
        <v>93.170699999999997</v>
      </c>
      <c r="DF26">
        <v>24</v>
      </c>
      <c r="DG26">
        <v>42.2</v>
      </c>
      <c r="DH26">
        <v>101</v>
      </c>
      <c r="DI26">
        <v>77.244399999999999</v>
      </c>
    </row>
    <row r="27" spans="2:113" x14ac:dyDescent="0.3">
      <c r="B27">
        <v>25</v>
      </c>
      <c r="C27">
        <v>47.078899999999997</v>
      </c>
      <c r="D27">
        <v>105</v>
      </c>
      <c r="E27">
        <v>77.842100000000002</v>
      </c>
      <c r="H27">
        <v>25</v>
      </c>
      <c r="I27">
        <v>39.7333</v>
      </c>
      <c r="J27">
        <v>82</v>
      </c>
      <c r="K27">
        <v>49.666699999999999</v>
      </c>
      <c r="N27">
        <v>25</v>
      </c>
      <c r="O27">
        <v>41.235300000000002</v>
      </c>
      <c r="P27">
        <v>97</v>
      </c>
      <c r="Q27">
        <v>81.147099999999995</v>
      </c>
      <c r="T27">
        <v>25</v>
      </c>
      <c r="U27">
        <v>59.5</v>
      </c>
      <c r="V27">
        <v>87</v>
      </c>
      <c r="W27">
        <v>63.791699999999999</v>
      </c>
      <c r="Z27">
        <v>25</v>
      </c>
      <c r="AA27">
        <v>43.285699999999999</v>
      </c>
      <c r="AB27">
        <v>95</v>
      </c>
      <c r="AC27">
        <v>83.285700000000006</v>
      </c>
      <c r="AF27">
        <v>25</v>
      </c>
      <c r="AG27">
        <v>37.928600000000003</v>
      </c>
      <c r="AH27">
        <v>92</v>
      </c>
      <c r="AI27">
        <v>66.785700000000006</v>
      </c>
      <c r="AL27">
        <v>25</v>
      </c>
      <c r="AM27">
        <v>38.2333</v>
      </c>
      <c r="AN27">
        <v>97</v>
      </c>
      <c r="AO27">
        <v>67.099999999999994</v>
      </c>
      <c r="AR27">
        <v>25</v>
      </c>
      <c r="AS27">
        <v>52.069000000000003</v>
      </c>
      <c r="AT27">
        <v>79</v>
      </c>
      <c r="AU27">
        <v>61.758600000000001</v>
      </c>
      <c r="AX27">
        <v>25</v>
      </c>
      <c r="AY27">
        <v>32.666699999999999</v>
      </c>
      <c r="AZ27">
        <v>94</v>
      </c>
      <c r="BA27">
        <v>55.166699999999999</v>
      </c>
      <c r="BD27">
        <v>25</v>
      </c>
      <c r="BE27">
        <v>69.4375</v>
      </c>
      <c r="BF27">
        <v>80</v>
      </c>
      <c r="BG27">
        <v>71.031199999999998</v>
      </c>
      <c r="BJ27">
        <v>25</v>
      </c>
      <c r="BK27">
        <v>45.8</v>
      </c>
      <c r="BL27">
        <v>86</v>
      </c>
      <c r="BM27">
        <v>48.95</v>
      </c>
      <c r="BP27">
        <v>25</v>
      </c>
      <c r="BQ27">
        <v>58.2759</v>
      </c>
      <c r="BR27">
        <v>83</v>
      </c>
      <c r="BS27">
        <v>64.758600000000001</v>
      </c>
      <c r="BV27">
        <v>25</v>
      </c>
      <c r="BW27">
        <v>45.454500000000003</v>
      </c>
      <c r="BX27">
        <v>92</v>
      </c>
      <c r="BY27">
        <v>69.181799999999996</v>
      </c>
      <c r="CB27">
        <v>25</v>
      </c>
      <c r="CC27">
        <v>36.302999999999997</v>
      </c>
      <c r="CD27">
        <v>100</v>
      </c>
      <c r="CE27">
        <v>48.878799999999998</v>
      </c>
      <c r="CH27">
        <v>25</v>
      </c>
      <c r="CI27">
        <v>45.055599999999998</v>
      </c>
      <c r="CJ27">
        <v>102</v>
      </c>
      <c r="CK27">
        <v>80.083299999999994</v>
      </c>
      <c r="CN27">
        <v>25</v>
      </c>
      <c r="CO27">
        <v>48.102600000000002</v>
      </c>
      <c r="CP27">
        <v>93</v>
      </c>
      <c r="CQ27">
        <v>59.640999999999998</v>
      </c>
      <c r="CT27">
        <v>25</v>
      </c>
      <c r="CU27">
        <v>45.371400000000001</v>
      </c>
      <c r="CV27">
        <v>95</v>
      </c>
      <c r="CW27">
        <v>57.457099999999997</v>
      </c>
      <c r="CZ27">
        <v>25</v>
      </c>
      <c r="DA27">
        <v>43.829300000000003</v>
      </c>
      <c r="DB27">
        <v>116</v>
      </c>
      <c r="DC27">
        <v>90.658500000000004</v>
      </c>
      <c r="DF27">
        <v>25</v>
      </c>
      <c r="DG27">
        <v>42.244399999999999</v>
      </c>
      <c r="DH27">
        <v>102</v>
      </c>
      <c r="DI27">
        <v>76.666700000000006</v>
      </c>
    </row>
    <row r="28" spans="2:113" x14ac:dyDescent="0.3">
      <c r="B28">
        <v>26</v>
      </c>
      <c r="C28">
        <v>48.210500000000003</v>
      </c>
      <c r="D28">
        <v>106</v>
      </c>
      <c r="E28">
        <v>76.8947</v>
      </c>
      <c r="H28">
        <v>26</v>
      </c>
      <c r="I28">
        <v>39.700000000000003</v>
      </c>
      <c r="J28">
        <v>83</v>
      </c>
      <c r="K28">
        <v>48.2333</v>
      </c>
      <c r="N28">
        <v>26</v>
      </c>
      <c r="O28">
        <v>42.382399999999997</v>
      </c>
      <c r="P28">
        <v>98</v>
      </c>
      <c r="Q28">
        <v>79.176500000000004</v>
      </c>
      <c r="T28">
        <v>26</v>
      </c>
      <c r="U28">
        <v>60.916699999999999</v>
      </c>
      <c r="V28">
        <v>88</v>
      </c>
      <c r="W28">
        <v>62.708300000000001</v>
      </c>
      <c r="Z28">
        <v>26</v>
      </c>
      <c r="AA28">
        <v>44.214300000000001</v>
      </c>
      <c r="AB28">
        <v>96</v>
      </c>
      <c r="AC28">
        <v>81.071399999999997</v>
      </c>
      <c r="AF28">
        <v>26</v>
      </c>
      <c r="AG28">
        <v>39.107100000000003</v>
      </c>
      <c r="AH28">
        <v>93</v>
      </c>
      <c r="AI28">
        <v>66</v>
      </c>
      <c r="AL28">
        <v>26</v>
      </c>
      <c r="AM28">
        <v>39.066699999999997</v>
      </c>
      <c r="AN28">
        <v>98</v>
      </c>
      <c r="AO28">
        <v>65.966700000000003</v>
      </c>
      <c r="AR28">
        <v>26</v>
      </c>
      <c r="AS28">
        <v>54.7241</v>
      </c>
      <c r="AT28">
        <v>80</v>
      </c>
      <c r="AU28">
        <v>61.034500000000001</v>
      </c>
      <c r="AX28">
        <v>26</v>
      </c>
      <c r="AY28">
        <v>32.916699999999999</v>
      </c>
      <c r="AZ28">
        <v>95</v>
      </c>
      <c r="BA28">
        <v>54.541699999999999</v>
      </c>
      <c r="BD28">
        <v>26</v>
      </c>
      <c r="BE28">
        <v>69.093800000000002</v>
      </c>
      <c r="BF28">
        <v>81</v>
      </c>
      <c r="BG28">
        <v>70.031199999999998</v>
      </c>
      <c r="BJ28">
        <v>26</v>
      </c>
      <c r="BK28">
        <v>46.3</v>
      </c>
      <c r="BL28">
        <v>87</v>
      </c>
      <c r="BM28">
        <v>47.5</v>
      </c>
      <c r="BP28">
        <v>26</v>
      </c>
      <c r="BQ28">
        <v>61.137900000000002</v>
      </c>
      <c r="BR28">
        <v>84</v>
      </c>
      <c r="BS28">
        <v>62.103400000000001</v>
      </c>
      <c r="BV28">
        <v>26</v>
      </c>
      <c r="BW28">
        <v>46.151499999999999</v>
      </c>
      <c r="BX28">
        <v>93</v>
      </c>
      <c r="BY28">
        <v>67.666700000000006</v>
      </c>
      <c r="CB28">
        <v>26</v>
      </c>
      <c r="CC28">
        <v>37.030299999999997</v>
      </c>
      <c r="CD28">
        <v>101</v>
      </c>
      <c r="CE28">
        <v>46.393900000000002</v>
      </c>
      <c r="CH28">
        <v>26</v>
      </c>
      <c r="CI28">
        <v>45.8611</v>
      </c>
      <c r="CJ28">
        <v>103</v>
      </c>
      <c r="CK28">
        <v>79</v>
      </c>
      <c r="CN28">
        <v>26</v>
      </c>
      <c r="CO28">
        <v>48.359000000000002</v>
      </c>
      <c r="CP28">
        <v>94</v>
      </c>
      <c r="CQ28">
        <v>57.230800000000002</v>
      </c>
      <c r="CT28">
        <v>26</v>
      </c>
      <c r="CU28">
        <v>46.314300000000003</v>
      </c>
      <c r="CV28">
        <v>96</v>
      </c>
      <c r="CW28">
        <v>54.4</v>
      </c>
      <c r="CZ28">
        <v>26</v>
      </c>
      <c r="DA28">
        <v>45.0244</v>
      </c>
      <c r="DB28">
        <v>117</v>
      </c>
      <c r="DC28">
        <v>86.658500000000004</v>
      </c>
      <c r="DF28">
        <v>26</v>
      </c>
      <c r="DG28">
        <v>42.755600000000001</v>
      </c>
      <c r="DH28">
        <v>103</v>
      </c>
      <c r="DI28">
        <v>76.822199999999995</v>
      </c>
    </row>
    <row r="29" spans="2:113" x14ac:dyDescent="0.3">
      <c r="B29">
        <v>27</v>
      </c>
      <c r="C29">
        <v>49.210500000000003</v>
      </c>
      <c r="D29">
        <v>107</v>
      </c>
      <c r="E29">
        <v>75.578900000000004</v>
      </c>
      <c r="H29">
        <v>27</v>
      </c>
      <c r="I29">
        <v>40.4</v>
      </c>
      <c r="J29">
        <v>84</v>
      </c>
      <c r="K29">
        <v>46.6</v>
      </c>
      <c r="N29">
        <v>27</v>
      </c>
      <c r="O29">
        <v>42.647100000000002</v>
      </c>
      <c r="P29">
        <v>99</v>
      </c>
      <c r="Q29">
        <v>76.529399999999995</v>
      </c>
      <c r="T29">
        <v>27</v>
      </c>
      <c r="U29">
        <v>63.208300000000001</v>
      </c>
      <c r="V29">
        <v>89</v>
      </c>
      <c r="W29">
        <v>62.166699999999999</v>
      </c>
      <c r="Z29">
        <v>27</v>
      </c>
      <c r="AA29">
        <v>45.071399999999997</v>
      </c>
      <c r="AB29">
        <v>97</v>
      </c>
      <c r="AC29">
        <v>78.964299999999994</v>
      </c>
      <c r="AF29">
        <v>27</v>
      </c>
      <c r="AG29">
        <v>40.178600000000003</v>
      </c>
      <c r="AH29">
        <v>94</v>
      </c>
      <c r="AI29">
        <v>64.892899999999997</v>
      </c>
      <c r="AL29">
        <v>27</v>
      </c>
      <c r="AM29">
        <v>40</v>
      </c>
      <c r="AN29">
        <v>99</v>
      </c>
      <c r="AO29">
        <v>65.400000000000006</v>
      </c>
      <c r="AR29">
        <v>27</v>
      </c>
      <c r="AS29">
        <v>57.379300000000001</v>
      </c>
      <c r="AT29">
        <v>81</v>
      </c>
      <c r="AU29">
        <v>59.965499999999999</v>
      </c>
      <c r="AX29">
        <v>27</v>
      </c>
      <c r="AY29">
        <v>33.875</v>
      </c>
      <c r="AZ29">
        <v>96</v>
      </c>
      <c r="BA29">
        <v>52.5</v>
      </c>
      <c r="BD29">
        <v>27</v>
      </c>
      <c r="BE29">
        <v>69.218800000000002</v>
      </c>
      <c r="BF29">
        <v>82</v>
      </c>
      <c r="BG29">
        <v>68.875</v>
      </c>
      <c r="BJ29">
        <v>27</v>
      </c>
      <c r="BK29">
        <v>46.65</v>
      </c>
      <c r="BL29">
        <v>88</v>
      </c>
      <c r="BM29">
        <v>45.75</v>
      </c>
      <c r="BP29">
        <v>27</v>
      </c>
      <c r="BQ29">
        <v>63.379300000000001</v>
      </c>
      <c r="BR29">
        <v>85</v>
      </c>
      <c r="BS29">
        <v>58.827599999999997</v>
      </c>
      <c r="BV29">
        <v>27</v>
      </c>
      <c r="BW29">
        <v>47.060600000000001</v>
      </c>
      <c r="BX29">
        <v>94</v>
      </c>
      <c r="BY29">
        <v>66.363600000000005</v>
      </c>
      <c r="CB29">
        <v>27</v>
      </c>
      <c r="CC29">
        <v>37.454500000000003</v>
      </c>
      <c r="CD29">
        <v>102</v>
      </c>
      <c r="CE29">
        <v>45.393900000000002</v>
      </c>
      <c r="CH29">
        <v>27</v>
      </c>
      <c r="CI29">
        <v>46.777799999999999</v>
      </c>
      <c r="CJ29">
        <v>104</v>
      </c>
      <c r="CK29">
        <v>78.055599999999998</v>
      </c>
      <c r="CN29">
        <v>27</v>
      </c>
      <c r="CO29">
        <v>49.333300000000001</v>
      </c>
      <c r="CP29">
        <v>95</v>
      </c>
      <c r="CQ29">
        <v>54.8718</v>
      </c>
      <c r="CT29">
        <v>27</v>
      </c>
      <c r="CU29">
        <v>46.457099999999997</v>
      </c>
      <c r="CV29">
        <v>97</v>
      </c>
      <c r="CW29">
        <v>52.371400000000001</v>
      </c>
      <c r="CZ29">
        <v>27</v>
      </c>
      <c r="DA29">
        <v>46.0976</v>
      </c>
      <c r="DB29">
        <v>118</v>
      </c>
      <c r="DC29">
        <v>82.780500000000004</v>
      </c>
      <c r="DF29">
        <v>27</v>
      </c>
      <c r="DG29">
        <v>43.911099999999998</v>
      </c>
      <c r="DH29">
        <v>104</v>
      </c>
      <c r="DI29">
        <v>75.622200000000007</v>
      </c>
    </row>
    <row r="30" spans="2:113" x14ac:dyDescent="0.3">
      <c r="B30">
        <v>28</v>
      </c>
      <c r="C30">
        <v>49.947400000000002</v>
      </c>
      <c r="D30">
        <v>108</v>
      </c>
      <c r="E30">
        <v>73.8947</v>
      </c>
      <c r="H30">
        <v>28</v>
      </c>
      <c r="I30">
        <v>42.2</v>
      </c>
      <c r="J30">
        <v>85</v>
      </c>
      <c r="K30">
        <v>45.033299999999997</v>
      </c>
      <c r="N30">
        <v>28</v>
      </c>
      <c r="O30">
        <v>43.176499999999997</v>
      </c>
      <c r="P30">
        <v>100</v>
      </c>
      <c r="Q30">
        <v>73.823499999999996</v>
      </c>
      <c r="T30">
        <v>28</v>
      </c>
      <c r="U30">
        <v>66.791700000000006</v>
      </c>
      <c r="V30">
        <v>90</v>
      </c>
      <c r="W30">
        <v>62</v>
      </c>
      <c r="Z30">
        <v>28</v>
      </c>
      <c r="AA30">
        <v>45.964300000000001</v>
      </c>
      <c r="AB30">
        <v>98</v>
      </c>
      <c r="AC30">
        <v>77.035700000000006</v>
      </c>
      <c r="AF30">
        <v>28</v>
      </c>
      <c r="AG30">
        <v>41</v>
      </c>
      <c r="AH30">
        <v>95</v>
      </c>
      <c r="AI30">
        <v>62.678600000000003</v>
      </c>
      <c r="AL30">
        <v>28</v>
      </c>
      <c r="AM30">
        <v>40.200000000000003</v>
      </c>
      <c r="AN30">
        <v>100</v>
      </c>
      <c r="AO30">
        <v>64.400000000000006</v>
      </c>
      <c r="AR30">
        <v>28</v>
      </c>
      <c r="AS30">
        <v>59.7241</v>
      </c>
      <c r="AT30">
        <v>82</v>
      </c>
      <c r="AU30">
        <v>58.413800000000002</v>
      </c>
      <c r="AX30">
        <v>28</v>
      </c>
      <c r="AY30">
        <v>35.458300000000001</v>
      </c>
      <c r="AZ30">
        <v>97</v>
      </c>
      <c r="BA30">
        <v>50.833300000000001</v>
      </c>
      <c r="BD30">
        <v>28</v>
      </c>
      <c r="BE30">
        <v>69.468800000000002</v>
      </c>
      <c r="BF30">
        <v>83</v>
      </c>
      <c r="BG30">
        <v>68.0625</v>
      </c>
      <c r="BJ30">
        <v>28</v>
      </c>
      <c r="BK30">
        <v>47.4</v>
      </c>
      <c r="BL30">
        <v>89</v>
      </c>
      <c r="BM30">
        <v>43.9</v>
      </c>
      <c r="BP30">
        <v>28</v>
      </c>
      <c r="BQ30">
        <v>65.482799999999997</v>
      </c>
      <c r="BR30">
        <v>86</v>
      </c>
      <c r="BS30">
        <v>56.862099999999998</v>
      </c>
      <c r="BV30">
        <v>28</v>
      </c>
      <c r="BW30">
        <v>48.878799999999998</v>
      </c>
      <c r="BX30">
        <v>95</v>
      </c>
      <c r="BY30">
        <v>65.484800000000007</v>
      </c>
      <c r="CB30">
        <v>28</v>
      </c>
      <c r="CC30">
        <v>38.181800000000003</v>
      </c>
      <c r="CD30">
        <v>103</v>
      </c>
      <c r="CE30">
        <v>44.454500000000003</v>
      </c>
      <c r="CH30">
        <v>28</v>
      </c>
      <c r="CI30">
        <v>47.6389</v>
      </c>
      <c r="CJ30">
        <v>105</v>
      </c>
      <c r="CK30">
        <v>76.527799999999999</v>
      </c>
      <c r="CN30">
        <v>28</v>
      </c>
      <c r="CO30">
        <v>51.384599999999999</v>
      </c>
      <c r="CP30">
        <v>96</v>
      </c>
      <c r="CQ30">
        <v>52.666699999999999</v>
      </c>
      <c r="CT30">
        <v>28</v>
      </c>
      <c r="CU30">
        <v>46.1143</v>
      </c>
      <c r="CV30">
        <v>98</v>
      </c>
      <c r="CW30">
        <v>51.085700000000003</v>
      </c>
      <c r="CZ30">
        <v>28</v>
      </c>
      <c r="DA30">
        <v>46.731699999999996</v>
      </c>
      <c r="DB30">
        <v>119</v>
      </c>
      <c r="DC30">
        <v>80.243899999999996</v>
      </c>
      <c r="DF30">
        <v>28</v>
      </c>
      <c r="DG30">
        <v>45.377800000000001</v>
      </c>
      <c r="DH30">
        <v>105</v>
      </c>
      <c r="DI30">
        <v>73.933300000000003</v>
      </c>
    </row>
    <row r="31" spans="2:113" x14ac:dyDescent="0.3">
      <c r="B31">
        <v>29</v>
      </c>
      <c r="C31">
        <v>50.631599999999999</v>
      </c>
      <c r="D31">
        <v>109</v>
      </c>
      <c r="E31">
        <v>72.421099999999996</v>
      </c>
      <c r="H31">
        <v>29</v>
      </c>
      <c r="I31">
        <v>44.466700000000003</v>
      </c>
      <c r="J31">
        <v>86</v>
      </c>
      <c r="K31">
        <v>43.866700000000002</v>
      </c>
      <c r="N31">
        <v>29</v>
      </c>
      <c r="O31">
        <v>45.029400000000003</v>
      </c>
      <c r="P31">
        <v>101</v>
      </c>
      <c r="Q31">
        <v>71.5</v>
      </c>
      <c r="T31">
        <v>29</v>
      </c>
      <c r="U31">
        <v>69.791700000000006</v>
      </c>
      <c r="V31">
        <v>91</v>
      </c>
      <c r="W31">
        <v>61.291699999999999</v>
      </c>
      <c r="Z31">
        <v>29</v>
      </c>
      <c r="AA31">
        <v>47.571399999999997</v>
      </c>
      <c r="AB31">
        <v>99</v>
      </c>
      <c r="AC31">
        <v>74.892899999999997</v>
      </c>
      <c r="AF31">
        <v>29</v>
      </c>
      <c r="AG31">
        <v>41.892899999999997</v>
      </c>
      <c r="AH31">
        <v>96</v>
      </c>
      <c r="AI31">
        <v>59.571399999999997</v>
      </c>
      <c r="AL31">
        <v>29</v>
      </c>
      <c r="AM31">
        <v>40.1</v>
      </c>
      <c r="AN31">
        <v>101</v>
      </c>
      <c r="AO31">
        <v>62.7333</v>
      </c>
      <c r="AR31">
        <v>29</v>
      </c>
      <c r="AS31">
        <v>61.551699999999997</v>
      </c>
      <c r="AT31">
        <v>83</v>
      </c>
      <c r="AU31">
        <v>56.241399999999999</v>
      </c>
      <c r="AX31">
        <v>29</v>
      </c>
      <c r="AY31">
        <v>36.791699999999999</v>
      </c>
      <c r="AZ31">
        <v>98</v>
      </c>
      <c r="BA31">
        <v>49.75</v>
      </c>
      <c r="BD31">
        <v>29</v>
      </c>
      <c r="BE31">
        <v>69.843800000000002</v>
      </c>
      <c r="BF31">
        <v>84</v>
      </c>
      <c r="BG31">
        <v>67.8125</v>
      </c>
      <c r="BJ31">
        <v>29</v>
      </c>
      <c r="BK31">
        <v>47.55</v>
      </c>
      <c r="BL31">
        <v>90</v>
      </c>
      <c r="BM31">
        <v>42.2</v>
      </c>
      <c r="BP31">
        <v>29</v>
      </c>
      <c r="BQ31">
        <v>68.413799999999995</v>
      </c>
      <c r="BR31">
        <v>87</v>
      </c>
      <c r="BS31">
        <v>55.206899999999997</v>
      </c>
      <c r="BV31">
        <v>29</v>
      </c>
      <c r="BW31">
        <v>50.666699999999999</v>
      </c>
      <c r="BX31">
        <v>96</v>
      </c>
      <c r="BY31">
        <v>64.909099999999995</v>
      </c>
      <c r="CB31">
        <v>29</v>
      </c>
      <c r="CC31">
        <v>39.636400000000002</v>
      </c>
      <c r="CD31">
        <v>104</v>
      </c>
      <c r="CE31">
        <v>43.454500000000003</v>
      </c>
      <c r="CH31">
        <v>29</v>
      </c>
      <c r="CI31">
        <v>47.694400000000002</v>
      </c>
      <c r="CJ31">
        <v>106</v>
      </c>
      <c r="CK31">
        <v>74.75</v>
      </c>
      <c r="CN31">
        <v>29</v>
      </c>
      <c r="CO31">
        <v>53.1282</v>
      </c>
      <c r="CP31">
        <v>97</v>
      </c>
      <c r="CQ31">
        <v>50.846200000000003</v>
      </c>
      <c r="CT31">
        <v>29</v>
      </c>
      <c r="CU31">
        <v>45.7714</v>
      </c>
      <c r="CV31">
        <v>99</v>
      </c>
      <c r="CW31">
        <v>50.428600000000003</v>
      </c>
      <c r="CZ31">
        <v>29</v>
      </c>
      <c r="DA31">
        <v>47.5854</v>
      </c>
      <c r="DB31">
        <v>120</v>
      </c>
      <c r="DC31">
        <v>79.292699999999996</v>
      </c>
      <c r="DF31">
        <v>29</v>
      </c>
      <c r="DG31">
        <v>46.311100000000003</v>
      </c>
      <c r="DH31">
        <v>106</v>
      </c>
      <c r="DI31">
        <v>71.866699999999994</v>
      </c>
    </row>
    <row r="32" spans="2:113" x14ac:dyDescent="0.3">
      <c r="B32">
        <v>30</v>
      </c>
      <c r="C32">
        <v>50.842100000000002</v>
      </c>
      <c r="D32">
        <v>110</v>
      </c>
      <c r="E32">
        <v>70.157899999999998</v>
      </c>
      <c r="H32">
        <v>30</v>
      </c>
      <c r="I32">
        <v>46.466700000000003</v>
      </c>
      <c r="J32">
        <v>87</v>
      </c>
      <c r="K32">
        <v>42.333300000000001</v>
      </c>
      <c r="N32">
        <v>30</v>
      </c>
      <c r="O32">
        <v>46.823500000000003</v>
      </c>
      <c r="P32">
        <v>102</v>
      </c>
      <c r="Q32">
        <v>69.117599999999996</v>
      </c>
      <c r="T32">
        <v>30</v>
      </c>
      <c r="U32">
        <v>72.5</v>
      </c>
      <c r="V32">
        <v>92</v>
      </c>
      <c r="W32">
        <v>60.291699999999999</v>
      </c>
      <c r="Z32">
        <v>30</v>
      </c>
      <c r="AA32">
        <v>48.75</v>
      </c>
      <c r="AB32">
        <v>100</v>
      </c>
      <c r="AC32">
        <v>72.714299999999994</v>
      </c>
      <c r="AF32">
        <v>30</v>
      </c>
      <c r="AG32">
        <v>43.357100000000003</v>
      </c>
      <c r="AH32">
        <v>97</v>
      </c>
      <c r="AI32">
        <v>55.678600000000003</v>
      </c>
      <c r="AL32">
        <v>30</v>
      </c>
      <c r="AM32">
        <v>40.166699999999999</v>
      </c>
      <c r="AN32">
        <v>102</v>
      </c>
      <c r="AO32">
        <v>60.633299999999998</v>
      </c>
      <c r="AR32">
        <v>30</v>
      </c>
      <c r="AS32">
        <v>63.586199999999998</v>
      </c>
      <c r="AT32">
        <v>84</v>
      </c>
      <c r="AU32">
        <v>54.448300000000003</v>
      </c>
      <c r="AX32">
        <v>30</v>
      </c>
      <c r="AY32">
        <v>37.291699999999999</v>
      </c>
      <c r="AZ32">
        <v>99</v>
      </c>
      <c r="BA32">
        <v>49.041699999999999</v>
      </c>
      <c r="BD32">
        <v>30</v>
      </c>
      <c r="BE32">
        <v>70.125</v>
      </c>
      <c r="BF32">
        <v>85</v>
      </c>
      <c r="BG32">
        <v>67.906199999999998</v>
      </c>
      <c r="BJ32">
        <v>30</v>
      </c>
      <c r="BK32">
        <v>48.2</v>
      </c>
      <c r="BL32">
        <v>91</v>
      </c>
      <c r="BM32">
        <v>41.05</v>
      </c>
      <c r="BP32">
        <v>30</v>
      </c>
      <c r="BQ32">
        <v>72.241399999999999</v>
      </c>
      <c r="BR32">
        <v>88</v>
      </c>
      <c r="BS32">
        <v>53.965499999999999</v>
      </c>
      <c r="BV32">
        <v>30</v>
      </c>
      <c r="BW32">
        <v>51.818199999999997</v>
      </c>
      <c r="BX32">
        <v>97</v>
      </c>
      <c r="BY32">
        <v>64.060599999999994</v>
      </c>
      <c r="CB32">
        <v>30</v>
      </c>
      <c r="CC32">
        <v>42.2121</v>
      </c>
      <c r="CD32">
        <v>105</v>
      </c>
      <c r="CE32">
        <v>42.393900000000002</v>
      </c>
      <c r="CH32">
        <v>30</v>
      </c>
      <c r="CI32">
        <v>48.055599999999998</v>
      </c>
      <c r="CJ32">
        <v>107</v>
      </c>
      <c r="CK32">
        <v>73.277799999999999</v>
      </c>
      <c r="CN32">
        <v>30</v>
      </c>
      <c r="CO32">
        <v>55.230800000000002</v>
      </c>
      <c r="CP32">
        <v>98</v>
      </c>
      <c r="CQ32">
        <v>49.487200000000001</v>
      </c>
      <c r="CT32">
        <v>30</v>
      </c>
      <c r="CU32">
        <v>45.857100000000003</v>
      </c>
      <c r="CV32">
        <v>100</v>
      </c>
      <c r="CW32">
        <v>50.628599999999999</v>
      </c>
      <c r="CZ32">
        <v>30</v>
      </c>
      <c r="DA32">
        <v>48.731699999999996</v>
      </c>
      <c r="DB32">
        <v>121</v>
      </c>
      <c r="DC32">
        <v>80.195099999999996</v>
      </c>
      <c r="DF32">
        <v>30</v>
      </c>
      <c r="DG32">
        <v>46.577800000000003</v>
      </c>
      <c r="DH32">
        <v>107</v>
      </c>
      <c r="DI32">
        <v>69.400000000000006</v>
      </c>
    </row>
    <row r="33" spans="2:113" x14ac:dyDescent="0.3">
      <c r="B33">
        <v>31</v>
      </c>
      <c r="C33">
        <v>51.578899999999997</v>
      </c>
      <c r="D33">
        <v>111</v>
      </c>
      <c r="E33">
        <v>68.526300000000006</v>
      </c>
      <c r="H33">
        <v>31</v>
      </c>
      <c r="I33">
        <v>47.833300000000001</v>
      </c>
      <c r="J33">
        <v>88</v>
      </c>
      <c r="K33">
        <v>41.166699999999999</v>
      </c>
      <c r="N33">
        <v>31</v>
      </c>
      <c r="O33">
        <v>48.441200000000002</v>
      </c>
      <c r="P33">
        <v>103</v>
      </c>
      <c r="Q33">
        <v>66.5</v>
      </c>
      <c r="T33">
        <v>31</v>
      </c>
      <c r="U33">
        <v>75.333299999999994</v>
      </c>
      <c r="V33">
        <v>93</v>
      </c>
      <c r="W33">
        <v>59.208300000000001</v>
      </c>
      <c r="Z33">
        <v>31</v>
      </c>
      <c r="AA33">
        <v>49.535699999999999</v>
      </c>
      <c r="AB33">
        <v>101</v>
      </c>
      <c r="AC33">
        <v>70.857100000000003</v>
      </c>
      <c r="AF33">
        <v>31</v>
      </c>
      <c r="AG33">
        <v>44.428600000000003</v>
      </c>
      <c r="AH33">
        <v>98</v>
      </c>
      <c r="AI33">
        <v>52.5</v>
      </c>
      <c r="AL33">
        <v>31</v>
      </c>
      <c r="AM33">
        <v>40.200000000000003</v>
      </c>
      <c r="AN33">
        <v>103</v>
      </c>
      <c r="AO33">
        <v>59.533299999999997</v>
      </c>
      <c r="AR33">
        <v>31</v>
      </c>
      <c r="AS33">
        <v>66.172399999999996</v>
      </c>
      <c r="AT33">
        <v>85</v>
      </c>
      <c r="AU33">
        <v>52.827599999999997</v>
      </c>
      <c r="AX33">
        <v>31</v>
      </c>
      <c r="AY33">
        <v>38.5</v>
      </c>
      <c r="AZ33">
        <v>100</v>
      </c>
      <c r="BA33">
        <v>48.166699999999999</v>
      </c>
      <c r="BD33">
        <v>31</v>
      </c>
      <c r="BE33">
        <v>70.656199999999998</v>
      </c>
      <c r="BF33">
        <v>86</v>
      </c>
      <c r="BG33">
        <v>68.093800000000002</v>
      </c>
      <c r="BJ33">
        <v>31</v>
      </c>
      <c r="BK33">
        <v>48.7</v>
      </c>
      <c r="BL33">
        <v>92</v>
      </c>
      <c r="BM33">
        <v>41.05</v>
      </c>
      <c r="BP33">
        <v>31</v>
      </c>
      <c r="BQ33">
        <v>75.172399999999996</v>
      </c>
      <c r="BR33">
        <v>89</v>
      </c>
      <c r="BS33">
        <v>52.758600000000001</v>
      </c>
      <c r="BV33">
        <v>31</v>
      </c>
      <c r="BW33">
        <v>53.424199999999999</v>
      </c>
      <c r="BX33">
        <v>98</v>
      </c>
      <c r="BY33">
        <v>62.454500000000003</v>
      </c>
      <c r="CB33">
        <v>31</v>
      </c>
      <c r="CC33">
        <v>44.302999999999997</v>
      </c>
      <c r="CD33">
        <v>106</v>
      </c>
      <c r="CE33">
        <v>41</v>
      </c>
      <c r="CH33">
        <v>31</v>
      </c>
      <c r="CI33">
        <v>48.3889</v>
      </c>
      <c r="CJ33">
        <v>108</v>
      </c>
      <c r="CK33">
        <v>72.277799999999999</v>
      </c>
      <c r="CN33">
        <v>31</v>
      </c>
      <c r="CO33">
        <v>57.384599999999999</v>
      </c>
      <c r="CP33">
        <v>99</v>
      </c>
      <c r="CQ33">
        <v>48.256399999999999</v>
      </c>
      <c r="CT33">
        <v>31</v>
      </c>
      <c r="CU33">
        <v>47</v>
      </c>
      <c r="CV33">
        <v>101</v>
      </c>
      <c r="CW33">
        <v>51.7714</v>
      </c>
      <c r="CZ33">
        <v>31</v>
      </c>
      <c r="DA33">
        <v>50.0976</v>
      </c>
      <c r="DB33">
        <v>122</v>
      </c>
      <c r="DC33">
        <v>82.658500000000004</v>
      </c>
      <c r="DF33">
        <v>31</v>
      </c>
      <c r="DG33">
        <v>46.622199999999999</v>
      </c>
      <c r="DH33">
        <v>108</v>
      </c>
      <c r="DI33">
        <v>66.755600000000001</v>
      </c>
    </row>
    <row r="34" spans="2:113" x14ac:dyDescent="0.3">
      <c r="B34">
        <v>32</v>
      </c>
      <c r="C34">
        <v>52.263199999999998</v>
      </c>
      <c r="D34">
        <v>112</v>
      </c>
      <c r="E34">
        <v>67.815799999999996</v>
      </c>
      <c r="H34">
        <v>32</v>
      </c>
      <c r="I34">
        <v>48.866700000000002</v>
      </c>
      <c r="J34">
        <v>89</v>
      </c>
      <c r="K34">
        <v>39.833300000000001</v>
      </c>
      <c r="N34">
        <v>32</v>
      </c>
      <c r="O34">
        <v>49.441200000000002</v>
      </c>
      <c r="P34">
        <v>104</v>
      </c>
      <c r="Q34">
        <v>65.5</v>
      </c>
      <c r="T34">
        <v>32</v>
      </c>
      <c r="U34">
        <v>76.5</v>
      </c>
      <c r="V34">
        <v>94</v>
      </c>
      <c r="W34">
        <v>58.458300000000001</v>
      </c>
      <c r="Z34">
        <v>32</v>
      </c>
      <c r="AA34">
        <v>50.357100000000003</v>
      </c>
      <c r="AB34">
        <v>102</v>
      </c>
      <c r="AC34">
        <v>69.428600000000003</v>
      </c>
      <c r="AF34">
        <v>32</v>
      </c>
      <c r="AG34">
        <v>45.178600000000003</v>
      </c>
      <c r="AH34">
        <v>99</v>
      </c>
      <c r="AI34">
        <v>50.428600000000003</v>
      </c>
      <c r="AL34">
        <v>32</v>
      </c>
      <c r="AM34">
        <v>40.533299999999997</v>
      </c>
      <c r="AN34">
        <v>104</v>
      </c>
      <c r="AO34">
        <v>59.133299999999998</v>
      </c>
      <c r="AR34">
        <v>32</v>
      </c>
      <c r="AS34">
        <v>69.275899999999993</v>
      </c>
      <c r="AT34">
        <v>86</v>
      </c>
      <c r="AU34">
        <v>51.137900000000002</v>
      </c>
      <c r="AX34">
        <v>32</v>
      </c>
      <c r="AY34">
        <v>40.583300000000001</v>
      </c>
      <c r="AZ34">
        <v>101</v>
      </c>
      <c r="BA34">
        <v>46.541699999999999</v>
      </c>
      <c r="BD34">
        <v>32</v>
      </c>
      <c r="BE34">
        <v>71.8125</v>
      </c>
      <c r="BF34">
        <v>87</v>
      </c>
      <c r="BG34">
        <v>67.875</v>
      </c>
      <c r="BJ34">
        <v>32</v>
      </c>
      <c r="BK34">
        <v>49.15</v>
      </c>
      <c r="BL34">
        <v>93</v>
      </c>
      <c r="BM34">
        <v>40.950000000000003</v>
      </c>
      <c r="BP34">
        <v>32</v>
      </c>
      <c r="BQ34">
        <v>77.344800000000006</v>
      </c>
      <c r="BR34">
        <v>90</v>
      </c>
      <c r="BS34">
        <v>51.379300000000001</v>
      </c>
      <c r="BV34">
        <v>32</v>
      </c>
      <c r="BW34">
        <v>54.757599999999996</v>
      </c>
      <c r="BX34">
        <v>99</v>
      </c>
      <c r="BY34">
        <v>61.545499999999997</v>
      </c>
      <c r="CB34">
        <v>32</v>
      </c>
      <c r="CC34">
        <v>45.636400000000002</v>
      </c>
      <c r="CD34">
        <v>107</v>
      </c>
      <c r="CE34">
        <v>39.878799999999998</v>
      </c>
      <c r="CH34">
        <v>32</v>
      </c>
      <c r="CI34">
        <v>48.3889</v>
      </c>
      <c r="CJ34">
        <v>109</v>
      </c>
      <c r="CK34">
        <v>71.166700000000006</v>
      </c>
      <c r="CN34">
        <v>32</v>
      </c>
      <c r="CO34">
        <v>58.794899999999998</v>
      </c>
      <c r="CP34">
        <v>100</v>
      </c>
      <c r="CQ34">
        <v>46.794899999999998</v>
      </c>
      <c r="CT34">
        <v>32</v>
      </c>
      <c r="CU34">
        <v>49.171399999999998</v>
      </c>
      <c r="CV34">
        <v>102</v>
      </c>
      <c r="CW34">
        <v>52.485700000000001</v>
      </c>
      <c r="CZ34">
        <v>32</v>
      </c>
      <c r="DA34">
        <v>51.756100000000004</v>
      </c>
      <c r="DB34">
        <v>123</v>
      </c>
      <c r="DC34">
        <v>85.195099999999996</v>
      </c>
      <c r="DF34">
        <v>32</v>
      </c>
      <c r="DG34">
        <v>47.088900000000002</v>
      </c>
      <c r="DH34">
        <v>109</v>
      </c>
      <c r="DI34">
        <v>65.133300000000006</v>
      </c>
    </row>
    <row r="35" spans="2:113" x14ac:dyDescent="0.3">
      <c r="B35">
        <v>33</v>
      </c>
      <c r="C35">
        <v>53.263199999999998</v>
      </c>
      <c r="D35">
        <v>113</v>
      </c>
      <c r="E35">
        <v>66.763199999999998</v>
      </c>
      <c r="H35">
        <v>33</v>
      </c>
      <c r="I35">
        <v>50.133299999999998</v>
      </c>
      <c r="J35">
        <v>90</v>
      </c>
      <c r="K35">
        <v>39.1</v>
      </c>
      <c r="N35">
        <v>33</v>
      </c>
      <c r="O35">
        <v>49.735300000000002</v>
      </c>
      <c r="P35">
        <v>105</v>
      </c>
      <c r="Q35">
        <v>64.7059</v>
      </c>
      <c r="T35">
        <v>33</v>
      </c>
      <c r="U35">
        <v>75.875</v>
      </c>
      <c r="V35">
        <v>95</v>
      </c>
      <c r="W35">
        <v>57.958300000000001</v>
      </c>
      <c r="Z35">
        <v>33</v>
      </c>
      <c r="AA35">
        <v>51.892899999999997</v>
      </c>
      <c r="AB35">
        <v>103</v>
      </c>
      <c r="AC35">
        <v>68.607100000000003</v>
      </c>
      <c r="AF35">
        <v>33</v>
      </c>
      <c r="AG35">
        <v>45.607100000000003</v>
      </c>
      <c r="AH35">
        <v>100</v>
      </c>
      <c r="AI35">
        <v>49.392899999999997</v>
      </c>
      <c r="AL35">
        <v>33</v>
      </c>
      <c r="AM35">
        <v>41.133299999999998</v>
      </c>
      <c r="AN35">
        <v>105</v>
      </c>
      <c r="AO35">
        <v>58.566699999999997</v>
      </c>
      <c r="AR35">
        <v>33</v>
      </c>
      <c r="AS35">
        <v>72.103399999999993</v>
      </c>
      <c r="AT35">
        <v>87</v>
      </c>
      <c r="AU35">
        <v>49.7241</v>
      </c>
      <c r="AX35">
        <v>33</v>
      </c>
      <c r="AY35">
        <v>43.5</v>
      </c>
      <c r="AZ35">
        <v>102</v>
      </c>
      <c r="BA35">
        <v>44.208300000000001</v>
      </c>
      <c r="BD35">
        <v>33</v>
      </c>
      <c r="BE35">
        <v>72.5</v>
      </c>
      <c r="BF35">
        <v>88</v>
      </c>
      <c r="BG35">
        <v>67.781199999999998</v>
      </c>
      <c r="BJ35">
        <v>33</v>
      </c>
      <c r="BK35">
        <v>50.45</v>
      </c>
      <c r="BL35">
        <v>94</v>
      </c>
      <c r="BM35">
        <v>41.05</v>
      </c>
      <c r="BP35">
        <v>33</v>
      </c>
      <c r="BQ35">
        <v>79.034499999999994</v>
      </c>
      <c r="BR35">
        <v>91</v>
      </c>
      <c r="BS35">
        <v>49.758600000000001</v>
      </c>
      <c r="BV35">
        <v>33</v>
      </c>
      <c r="BW35">
        <v>57.030299999999997</v>
      </c>
      <c r="BX35">
        <v>100</v>
      </c>
      <c r="BY35">
        <v>61.302999999999997</v>
      </c>
      <c r="CB35">
        <v>33</v>
      </c>
      <c r="CC35">
        <v>46.2121</v>
      </c>
      <c r="CD35">
        <v>108</v>
      </c>
      <c r="CE35">
        <v>39.181800000000003</v>
      </c>
      <c r="CH35">
        <v>33</v>
      </c>
      <c r="CI35">
        <v>48.416699999999999</v>
      </c>
      <c r="CJ35">
        <v>110</v>
      </c>
      <c r="CK35">
        <v>70.027799999999999</v>
      </c>
      <c r="CN35">
        <v>33</v>
      </c>
      <c r="CO35">
        <v>59.512799999999999</v>
      </c>
      <c r="CP35">
        <v>101</v>
      </c>
      <c r="CQ35">
        <v>45.205100000000002</v>
      </c>
      <c r="CT35">
        <v>33</v>
      </c>
      <c r="CU35">
        <v>52.371400000000001</v>
      </c>
      <c r="CV35">
        <v>103</v>
      </c>
      <c r="CW35">
        <v>52.4</v>
      </c>
      <c r="CZ35">
        <v>33</v>
      </c>
      <c r="DA35">
        <v>53.146299999999997</v>
      </c>
      <c r="DB35">
        <v>124</v>
      </c>
      <c r="DC35">
        <v>86.341499999999996</v>
      </c>
      <c r="DF35">
        <v>33</v>
      </c>
      <c r="DG35">
        <v>48.333300000000001</v>
      </c>
      <c r="DH35">
        <v>110</v>
      </c>
      <c r="DI35">
        <v>64.555599999999998</v>
      </c>
    </row>
    <row r="36" spans="2:113" x14ac:dyDescent="0.3">
      <c r="B36">
        <v>34</v>
      </c>
      <c r="C36">
        <v>54.210500000000003</v>
      </c>
      <c r="D36">
        <v>114</v>
      </c>
      <c r="E36">
        <v>65.868399999999994</v>
      </c>
      <c r="H36">
        <v>34</v>
      </c>
      <c r="I36">
        <v>52.2</v>
      </c>
      <c r="J36">
        <v>91</v>
      </c>
      <c r="K36">
        <v>38.799999999999997</v>
      </c>
      <c r="N36">
        <v>34</v>
      </c>
      <c r="O36">
        <v>50</v>
      </c>
      <c r="P36">
        <v>106</v>
      </c>
      <c r="Q36">
        <v>64.647099999999995</v>
      </c>
      <c r="T36">
        <v>34</v>
      </c>
      <c r="U36">
        <v>76.5</v>
      </c>
      <c r="V36">
        <v>96</v>
      </c>
      <c r="W36">
        <v>57.75</v>
      </c>
      <c r="Z36">
        <v>34</v>
      </c>
      <c r="AA36">
        <v>53.928600000000003</v>
      </c>
      <c r="AB36">
        <v>104</v>
      </c>
      <c r="AC36">
        <v>67.785700000000006</v>
      </c>
      <c r="AF36">
        <v>34</v>
      </c>
      <c r="AG36">
        <v>46.107100000000003</v>
      </c>
      <c r="AH36">
        <v>101</v>
      </c>
      <c r="AI36">
        <v>48.428600000000003</v>
      </c>
      <c r="AL36">
        <v>34</v>
      </c>
      <c r="AM36">
        <v>41.433300000000003</v>
      </c>
      <c r="AN36">
        <v>106</v>
      </c>
      <c r="AO36">
        <v>58</v>
      </c>
      <c r="AR36">
        <v>34</v>
      </c>
      <c r="AS36">
        <v>74.344800000000006</v>
      </c>
      <c r="AT36">
        <v>88</v>
      </c>
      <c r="AU36">
        <v>49.103400000000001</v>
      </c>
      <c r="AX36">
        <v>34</v>
      </c>
      <c r="AY36">
        <v>46.166699999999999</v>
      </c>
      <c r="AZ36">
        <v>103</v>
      </c>
      <c r="BA36">
        <v>42.125</v>
      </c>
      <c r="BD36">
        <v>34</v>
      </c>
      <c r="BE36">
        <v>72.781199999999998</v>
      </c>
      <c r="BF36">
        <v>89</v>
      </c>
      <c r="BG36">
        <v>67.4375</v>
      </c>
      <c r="BJ36">
        <v>34</v>
      </c>
      <c r="BK36">
        <v>51.6</v>
      </c>
      <c r="BL36">
        <v>95</v>
      </c>
      <c r="BM36">
        <v>41.05</v>
      </c>
      <c r="BP36">
        <v>34</v>
      </c>
      <c r="BQ36">
        <v>80.896600000000007</v>
      </c>
      <c r="BR36">
        <v>92</v>
      </c>
      <c r="BS36">
        <v>48.137900000000002</v>
      </c>
      <c r="BV36">
        <v>34</v>
      </c>
      <c r="BW36">
        <v>60.424199999999999</v>
      </c>
      <c r="BX36">
        <v>101</v>
      </c>
      <c r="BY36">
        <v>60.090899999999998</v>
      </c>
      <c r="CB36">
        <v>34</v>
      </c>
      <c r="CC36">
        <v>47.030299999999997</v>
      </c>
      <c r="CD36">
        <v>109</v>
      </c>
      <c r="CE36">
        <v>38.5152</v>
      </c>
      <c r="CH36">
        <v>34</v>
      </c>
      <c r="CI36">
        <v>48.416699999999999</v>
      </c>
      <c r="CJ36">
        <v>111</v>
      </c>
      <c r="CK36">
        <v>69.166700000000006</v>
      </c>
      <c r="CN36">
        <v>34</v>
      </c>
      <c r="CO36">
        <v>60.846200000000003</v>
      </c>
      <c r="CP36">
        <v>102</v>
      </c>
      <c r="CQ36">
        <v>44.230800000000002</v>
      </c>
      <c r="CT36">
        <v>34</v>
      </c>
      <c r="CU36">
        <v>56.085700000000003</v>
      </c>
      <c r="CV36">
        <v>104</v>
      </c>
      <c r="CW36">
        <v>51.8857</v>
      </c>
      <c r="CZ36">
        <v>34</v>
      </c>
      <c r="DA36">
        <v>54.195099999999996</v>
      </c>
      <c r="DB36">
        <v>125</v>
      </c>
      <c r="DC36">
        <v>87.0244</v>
      </c>
      <c r="DF36">
        <v>34</v>
      </c>
      <c r="DG36">
        <v>50.288899999999998</v>
      </c>
      <c r="DH36">
        <v>111</v>
      </c>
      <c r="DI36">
        <v>63.466700000000003</v>
      </c>
    </row>
    <row r="37" spans="2:113" x14ac:dyDescent="0.3">
      <c r="B37">
        <v>35</v>
      </c>
      <c r="C37">
        <v>55.5</v>
      </c>
      <c r="D37">
        <v>115</v>
      </c>
      <c r="E37">
        <v>65.710499999999996</v>
      </c>
      <c r="H37">
        <v>35</v>
      </c>
      <c r="I37">
        <v>54.066699999999997</v>
      </c>
      <c r="J37">
        <v>92</v>
      </c>
      <c r="K37">
        <v>37.4</v>
      </c>
      <c r="N37">
        <v>35</v>
      </c>
      <c r="O37">
        <v>51.382399999999997</v>
      </c>
      <c r="P37">
        <v>107</v>
      </c>
      <c r="Q37">
        <v>64.882400000000004</v>
      </c>
      <c r="T37">
        <v>35</v>
      </c>
      <c r="U37">
        <v>78.333299999999994</v>
      </c>
      <c r="V37">
        <v>97</v>
      </c>
      <c r="W37">
        <v>57.416699999999999</v>
      </c>
      <c r="Z37">
        <v>35</v>
      </c>
      <c r="AA37">
        <v>55.821399999999997</v>
      </c>
      <c r="AB37">
        <v>105</v>
      </c>
      <c r="AC37">
        <v>66.75</v>
      </c>
      <c r="AF37">
        <v>35</v>
      </c>
      <c r="AG37">
        <v>46.642899999999997</v>
      </c>
      <c r="AH37">
        <v>102</v>
      </c>
      <c r="AI37">
        <v>46.75</v>
      </c>
      <c r="AL37">
        <v>35</v>
      </c>
      <c r="AM37">
        <v>41.7333</v>
      </c>
      <c r="AN37">
        <v>107</v>
      </c>
      <c r="AO37">
        <v>57.2667</v>
      </c>
      <c r="AR37">
        <v>35</v>
      </c>
      <c r="AS37">
        <v>76.379300000000001</v>
      </c>
      <c r="AT37">
        <v>89</v>
      </c>
      <c r="AU37">
        <v>48.896599999999999</v>
      </c>
      <c r="AX37">
        <v>35</v>
      </c>
      <c r="AY37">
        <v>48.083300000000001</v>
      </c>
      <c r="AZ37">
        <v>104</v>
      </c>
      <c r="BA37">
        <v>40.791699999999999</v>
      </c>
      <c r="BD37">
        <v>35</v>
      </c>
      <c r="BE37">
        <v>72.593800000000002</v>
      </c>
      <c r="BF37">
        <v>90</v>
      </c>
      <c r="BG37">
        <v>67.5</v>
      </c>
      <c r="BJ37">
        <v>35</v>
      </c>
      <c r="BK37">
        <v>52.75</v>
      </c>
      <c r="BL37">
        <v>96</v>
      </c>
      <c r="BM37">
        <v>40.65</v>
      </c>
      <c r="BP37">
        <v>35</v>
      </c>
      <c r="BQ37">
        <v>82.655199999999994</v>
      </c>
      <c r="BR37">
        <v>93</v>
      </c>
      <c r="BS37">
        <v>47.379300000000001</v>
      </c>
      <c r="BV37">
        <v>35</v>
      </c>
      <c r="BW37">
        <v>64.848500000000001</v>
      </c>
      <c r="BX37">
        <v>102</v>
      </c>
      <c r="BY37">
        <v>56.7273</v>
      </c>
      <c r="CB37">
        <v>35</v>
      </c>
      <c r="CC37">
        <v>48.2121</v>
      </c>
      <c r="CD37">
        <v>110</v>
      </c>
      <c r="CE37">
        <v>38.181800000000003</v>
      </c>
      <c r="CH37">
        <v>35</v>
      </c>
      <c r="CI37">
        <v>48.8611</v>
      </c>
      <c r="CJ37">
        <v>112</v>
      </c>
      <c r="CK37">
        <v>68.5</v>
      </c>
      <c r="CN37">
        <v>35</v>
      </c>
      <c r="CO37">
        <v>62.333300000000001</v>
      </c>
      <c r="CP37">
        <v>103</v>
      </c>
      <c r="CQ37">
        <v>43.307699999999997</v>
      </c>
      <c r="CT37">
        <v>35</v>
      </c>
      <c r="CU37">
        <v>58.571399999999997</v>
      </c>
      <c r="CV37">
        <v>105</v>
      </c>
      <c r="CW37">
        <v>51.542900000000003</v>
      </c>
      <c r="CZ37">
        <v>35</v>
      </c>
      <c r="DA37">
        <v>54.5854</v>
      </c>
      <c r="DB37">
        <v>126</v>
      </c>
      <c r="DC37">
        <v>87.414599999999993</v>
      </c>
      <c r="DF37">
        <v>35</v>
      </c>
      <c r="DG37">
        <v>53.088900000000002</v>
      </c>
      <c r="DH37">
        <v>112</v>
      </c>
      <c r="DI37">
        <v>61.711100000000002</v>
      </c>
    </row>
    <row r="38" spans="2:113" x14ac:dyDescent="0.3">
      <c r="B38">
        <v>36</v>
      </c>
      <c r="C38">
        <v>57.473700000000001</v>
      </c>
      <c r="D38">
        <v>116</v>
      </c>
      <c r="E38">
        <v>65.184200000000004</v>
      </c>
      <c r="H38">
        <v>36</v>
      </c>
      <c r="I38">
        <v>55.7</v>
      </c>
      <c r="J38">
        <v>93</v>
      </c>
      <c r="K38">
        <v>35.5</v>
      </c>
      <c r="N38">
        <v>36</v>
      </c>
      <c r="O38">
        <v>52.823500000000003</v>
      </c>
      <c r="P38">
        <v>108</v>
      </c>
      <c r="Q38">
        <v>65.382400000000004</v>
      </c>
      <c r="T38">
        <v>36</v>
      </c>
      <c r="U38">
        <v>79.625</v>
      </c>
      <c r="V38">
        <v>98</v>
      </c>
      <c r="W38">
        <v>56.541699999999999</v>
      </c>
      <c r="Z38">
        <v>36</v>
      </c>
      <c r="AA38">
        <v>58.142899999999997</v>
      </c>
      <c r="AB38">
        <v>106</v>
      </c>
      <c r="AC38">
        <v>64.857100000000003</v>
      </c>
      <c r="AF38">
        <v>36</v>
      </c>
      <c r="AG38">
        <v>46.714300000000001</v>
      </c>
      <c r="AH38">
        <v>103</v>
      </c>
      <c r="AI38">
        <v>45.214300000000001</v>
      </c>
      <c r="AL38">
        <v>36</v>
      </c>
      <c r="AM38">
        <v>41.966700000000003</v>
      </c>
      <c r="AN38">
        <v>108</v>
      </c>
      <c r="AO38">
        <v>56.666699999999999</v>
      </c>
      <c r="AR38">
        <v>36</v>
      </c>
      <c r="AS38">
        <v>77.758600000000001</v>
      </c>
      <c r="AT38">
        <v>90</v>
      </c>
      <c r="AU38">
        <v>48.344799999999999</v>
      </c>
      <c r="AX38">
        <v>36</v>
      </c>
      <c r="AY38">
        <v>49.541699999999999</v>
      </c>
      <c r="AZ38">
        <v>105</v>
      </c>
      <c r="BA38">
        <v>40.333300000000001</v>
      </c>
      <c r="BD38">
        <v>36</v>
      </c>
      <c r="BE38">
        <v>73.968800000000002</v>
      </c>
      <c r="BF38">
        <v>91</v>
      </c>
      <c r="BG38">
        <v>67.031199999999998</v>
      </c>
      <c r="BJ38">
        <v>36</v>
      </c>
      <c r="BK38">
        <v>54.4</v>
      </c>
      <c r="BL38">
        <v>97</v>
      </c>
      <c r="BM38">
        <v>40.1</v>
      </c>
      <c r="BP38">
        <v>36</v>
      </c>
      <c r="BQ38">
        <v>84.413799999999995</v>
      </c>
      <c r="BR38">
        <v>94</v>
      </c>
      <c r="BS38">
        <v>46.758600000000001</v>
      </c>
      <c r="BV38">
        <v>36</v>
      </c>
      <c r="BW38">
        <v>68.575800000000001</v>
      </c>
      <c r="BX38">
        <v>103</v>
      </c>
      <c r="BY38">
        <v>51.697000000000003</v>
      </c>
      <c r="CB38">
        <v>36</v>
      </c>
      <c r="CC38">
        <v>49.969700000000003</v>
      </c>
      <c r="CD38">
        <v>111</v>
      </c>
      <c r="CE38">
        <v>37.545499999999997</v>
      </c>
      <c r="CH38">
        <v>36</v>
      </c>
      <c r="CI38">
        <v>49.1111</v>
      </c>
      <c r="CJ38">
        <v>113</v>
      </c>
      <c r="CK38">
        <v>67.777799999999999</v>
      </c>
      <c r="CN38">
        <v>36</v>
      </c>
      <c r="CO38">
        <v>63.461500000000001</v>
      </c>
      <c r="CP38">
        <v>104</v>
      </c>
      <c r="CQ38">
        <v>41.8718</v>
      </c>
      <c r="CT38">
        <v>36</v>
      </c>
      <c r="CU38">
        <v>59.914299999999997</v>
      </c>
      <c r="CV38">
        <v>106</v>
      </c>
      <c r="CW38">
        <v>51.371400000000001</v>
      </c>
      <c r="CZ38">
        <v>36</v>
      </c>
      <c r="DA38">
        <v>54.9512</v>
      </c>
      <c r="DB38">
        <v>127</v>
      </c>
      <c r="DC38">
        <v>86.585400000000007</v>
      </c>
      <c r="DF38">
        <v>36</v>
      </c>
      <c r="DG38">
        <v>56.8444</v>
      </c>
      <c r="DH38">
        <v>113</v>
      </c>
      <c r="DI38">
        <v>59.7333</v>
      </c>
    </row>
    <row r="39" spans="2:113" x14ac:dyDescent="0.3">
      <c r="B39">
        <v>37</v>
      </c>
      <c r="C39">
        <v>59.236800000000002</v>
      </c>
      <c r="D39">
        <v>117</v>
      </c>
      <c r="E39">
        <v>63.736800000000002</v>
      </c>
      <c r="H39">
        <v>37</v>
      </c>
      <c r="I39">
        <v>57.366700000000002</v>
      </c>
      <c r="J39">
        <v>94</v>
      </c>
      <c r="K39">
        <v>34.4</v>
      </c>
      <c r="N39">
        <v>37</v>
      </c>
      <c r="O39">
        <v>53.941200000000002</v>
      </c>
      <c r="P39">
        <v>109</v>
      </c>
      <c r="Q39">
        <v>65</v>
      </c>
      <c r="T39">
        <v>37</v>
      </c>
      <c r="U39">
        <v>78.75</v>
      </c>
      <c r="V39">
        <v>99</v>
      </c>
      <c r="W39">
        <v>55.541699999999999</v>
      </c>
      <c r="Z39">
        <v>37</v>
      </c>
      <c r="AA39">
        <v>59.464300000000001</v>
      </c>
      <c r="AB39">
        <v>107</v>
      </c>
      <c r="AC39">
        <v>62.571399999999997</v>
      </c>
      <c r="AF39">
        <v>37</v>
      </c>
      <c r="AG39">
        <v>47.142899999999997</v>
      </c>
      <c r="AH39">
        <v>104</v>
      </c>
      <c r="AI39">
        <v>43.785699999999999</v>
      </c>
      <c r="AL39">
        <v>37</v>
      </c>
      <c r="AM39">
        <v>42.8</v>
      </c>
      <c r="AN39">
        <v>109</v>
      </c>
      <c r="AO39">
        <v>55.366700000000002</v>
      </c>
      <c r="AR39">
        <v>37</v>
      </c>
      <c r="AS39">
        <v>78.620699999999999</v>
      </c>
      <c r="AT39">
        <v>91</v>
      </c>
      <c r="AU39">
        <v>46.620699999999999</v>
      </c>
      <c r="AX39">
        <v>37</v>
      </c>
      <c r="AY39">
        <v>50.583300000000001</v>
      </c>
      <c r="AZ39">
        <v>106</v>
      </c>
      <c r="BA39">
        <v>39.708300000000001</v>
      </c>
      <c r="BD39">
        <v>37</v>
      </c>
      <c r="BE39">
        <v>76.031199999999998</v>
      </c>
      <c r="BF39">
        <v>92</v>
      </c>
      <c r="BG39">
        <v>66.468800000000002</v>
      </c>
      <c r="BJ39">
        <v>37</v>
      </c>
      <c r="BK39">
        <v>56.1</v>
      </c>
      <c r="BL39">
        <v>98</v>
      </c>
      <c r="BM39">
        <v>39.450000000000003</v>
      </c>
      <c r="BP39">
        <v>37</v>
      </c>
      <c r="BQ39">
        <v>86.275899999999993</v>
      </c>
      <c r="BR39">
        <v>95</v>
      </c>
      <c r="BS39">
        <v>45.930999999999997</v>
      </c>
      <c r="BV39">
        <v>37</v>
      </c>
      <c r="BW39">
        <v>71.484800000000007</v>
      </c>
      <c r="BX39">
        <v>104</v>
      </c>
      <c r="BY39">
        <v>46.757599999999996</v>
      </c>
      <c r="CB39">
        <v>37</v>
      </c>
      <c r="CC39">
        <v>51.939399999999999</v>
      </c>
      <c r="CD39">
        <v>112</v>
      </c>
      <c r="CE39">
        <v>37.2121</v>
      </c>
      <c r="CH39">
        <v>37</v>
      </c>
      <c r="CI39">
        <v>49.222200000000001</v>
      </c>
      <c r="CJ39">
        <v>114</v>
      </c>
      <c r="CK39">
        <v>66.777799999999999</v>
      </c>
      <c r="CN39">
        <v>37</v>
      </c>
      <c r="CO39">
        <v>65.2821</v>
      </c>
      <c r="CP39">
        <v>105</v>
      </c>
      <c r="CQ39">
        <v>40.820500000000003</v>
      </c>
      <c r="CT39">
        <v>37</v>
      </c>
      <c r="CU39">
        <v>60.828600000000002</v>
      </c>
      <c r="CV39">
        <v>107</v>
      </c>
      <c r="CW39">
        <v>50.942900000000002</v>
      </c>
      <c r="CZ39">
        <v>37</v>
      </c>
      <c r="DA39">
        <v>55.4146</v>
      </c>
      <c r="DB39">
        <v>128</v>
      </c>
      <c r="DC39">
        <v>83.707300000000004</v>
      </c>
      <c r="DF39">
        <v>37</v>
      </c>
      <c r="DG39">
        <v>60.822200000000002</v>
      </c>
      <c r="DH39">
        <v>114</v>
      </c>
      <c r="DI39">
        <v>58.4</v>
      </c>
    </row>
    <row r="40" spans="2:113" x14ac:dyDescent="0.3">
      <c r="B40">
        <v>38</v>
      </c>
      <c r="C40">
        <v>61.157899999999998</v>
      </c>
      <c r="D40">
        <v>118</v>
      </c>
      <c r="E40">
        <v>62.315800000000003</v>
      </c>
      <c r="H40">
        <v>38</v>
      </c>
      <c r="I40">
        <v>59.2333</v>
      </c>
      <c r="J40">
        <v>95</v>
      </c>
      <c r="K40">
        <v>34.200000000000003</v>
      </c>
      <c r="N40">
        <v>38</v>
      </c>
      <c r="O40">
        <v>54.235300000000002</v>
      </c>
      <c r="P40">
        <v>110</v>
      </c>
      <c r="Q40">
        <v>64.441199999999995</v>
      </c>
      <c r="T40">
        <v>38</v>
      </c>
      <c r="U40">
        <v>77.291700000000006</v>
      </c>
      <c r="V40">
        <v>100</v>
      </c>
      <c r="W40">
        <v>54.083300000000001</v>
      </c>
      <c r="Z40">
        <v>38</v>
      </c>
      <c r="AA40">
        <v>59.642899999999997</v>
      </c>
      <c r="AB40">
        <v>108</v>
      </c>
      <c r="AC40">
        <v>61.107100000000003</v>
      </c>
      <c r="AF40">
        <v>38</v>
      </c>
      <c r="AG40">
        <v>48.178600000000003</v>
      </c>
      <c r="AH40">
        <v>105</v>
      </c>
      <c r="AI40">
        <v>42.535699999999999</v>
      </c>
      <c r="AL40">
        <v>38</v>
      </c>
      <c r="AM40">
        <v>43.566699999999997</v>
      </c>
      <c r="AN40">
        <v>110</v>
      </c>
      <c r="AO40">
        <v>53.666699999999999</v>
      </c>
      <c r="AR40">
        <v>38</v>
      </c>
      <c r="AS40">
        <v>79.344800000000006</v>
      </c>
      <c r="AT40">
        <v>92</v>
      </c>
      <c r="AU40">
        <v>44.758600000000001</v>
      </c>
      <c r="AX40">
        <v>38</v>
      </c>
      <c r="AY40">
        <v>51.166699999999999</v>
      </c>
      <c r="AZ40">
        <v>107</v>
      </c>
      <c r="BA40">
        <v>38.083300000000001</v>
      </c>
      <c r="BD40">
        <v>38</v>
      </c>
      <c r="BE40">
        <v>77.406199999999998</v>
      </c>
      <c r="BF40">
        <v>93</v>
      </c>
      <c r="BG40">
        <v>65.625</v>
      </c>
      <c r="BJ40">
        <v>38</v>
      </c>
      <c r="BK40">
        <v>58.25</v>
      </c>
      <c r="BL40">
        <v>99</v>
      </c>
      <c r="BM40">
        <v>38</v>
      </c>
      <c r="BP40">
        <v>38</v>
      </c>
      <c r="BQ40">
        <v>88.137900000000002</v>
      </c>
      <c r="BR40">
        <v>96</v>
      </c>
      <c r="BS40">
        <v>45.137900000000002</v>
      </c>
      <c r="BV40">
        <v>38</v>
      </c>
      <c r="BW40">
        <v>75.151499999999999</v>
      </c>
      <c r="BX40">
        <v>105</v>
      </c>
      <c r="BY40">
        <v>44.424199999999999</v>
      </c>
      <c r="CB40">
        <v>38</v>
      </c>
      <c r="CC40">
        <v>54.575800000000001</v>
      </c>
      <c r="CD40">
        <v>113</v>
      </c>
      <c r="CE40">
        <v>36.666699999999999</v>
      </c>
      <c r="CH40">
        <v>38</v>
      </c>
      <c r="CI40">
        <v>49.416699999999999</v>
      </c>
      <c r="CJ40">
        <v>115</v>
      </c>
      <c r="CK40">
        <v>65.277799999999999</v>
      </c>
      <c r="CN40">
        <v>38</v>
      </c>
      <c r="CO40">
        <v>67.307699999999997</v>
      </c>
      <c r="CP40">
        <v>106</v>
      </c>
      <c r="CQ40">
        <v>39.974400000000003</v>
      </c>
      <c r="CT40">
        <v>38</v>
      </c>
      <c r="CU40">
        <v>62.085700000000003</v>
      </c>
      <c r="CV40">
        <v>108</v>
      </c>
      <c r="CW40">
        <v>49.514299999999999</v>
      </c>
      <c r="CZ40">
        <v>38</v>
      </c>
      <c r="DA40">
        <v>55.5854</v>
      </c>
      <c r="DB40">
        <v>129</v>
      </c>
      <c r="DC40">
        <v>80.219499999999996</v>
      </c>
      <c r="DF40">
        <v>38</v>
      </c>
      <c r="DG40">
        <v>65.133300000000006</v>
      </c>
      <c r="DH40">
        <v>115</v>
      </c>
      <c r="DI40">
        <v>56.711100000000002</v>
      </c>
    </row>
    <row r="41" spans="2:113" x14ac:dyDescent="0.3">
      <c r="B41">
        <v>39</v>
      </c>
      <c r="C41">
        <v>63.131599999999999</v>
      </c>
      <c r="D41">
        <v>119</v>
      </c>
      <c r="E41">
        <v>61.052599999999998</v>
      </c>
      <c r="H41">
        <v>39</v>
      </c>
      <c r="I41">
        <v>61.2667</v>
      </c>
      <c r="J41">
        <v>96</v>
      </c>
      <c r="K41">
        <v>34.2667</v>
      </c>
      <c r="N41">
        <v>39</v>
      </c>
      <c r="O41">
        <v>54.852899999999998</v>
      </c>
      <c r="P41">
        <v>111</v>
      </c>
      <c r="Q41">
        <v>63.352899999999998</v>
      </c>
      <c r="T41">
        <v>39</v>
      </c>
      <c r="U41">
        <v>78</v>
      </c>
      <c r="V41">
        <v>101</v>
      </c>
      <c r="W41">
        <v>52.291699999999999</v>
      </c>
      <c r="Z41">
        <v>39</v>
      </c>
      <c r="AA41">
        <v>60.107100000000003</v>
      </c>
      <c r="AB41">
        <v>109</v>
      </c>
      <c r="AC41">
        <v>60</v>
      </c>
      <c r="AF41">
        <v>39</v>
      </c>
      <c r="AG41">
        <v>49.75</v>
      </c>
      <c r="AH41">
        <v>106</v>
      </c>
      <c r="AI41">
        <v>42.357100000000003</v>
      </c>
      <c r="AL41">
        <v>39</v>
      </c>
      <c r="AM41">
        <v>44.7667</v>
      </c>
      <c r="AN41">
        <v>111</v>
      </c>
      <c r="AO41">
        <v>51.7667</v>
      </c>
      <c r="AR41">
        <v>39</v>
      </c>
      <c r="AS41">
        <v>80.620699999999999</v>
      </c>
      <c r="AT41">
        <v>93</v>
      </c>
      <c r="AU41">
        <v>43.793100000000003</v>
      </c>
      <c r="AX41">
        <v>39</v>
      </c>
      <c r="AY41">
        <v>51.666699999999999</v>
      </c>
      <c r="AZ41">
        <v>108</v>
      </c>
      <c r="BA41">
        <v>36.5</v>
      </c>
      <c r="BD41">
        <v>39</v>
      </c>
      <c r="BE41">
        <v>78.3125</v>
      </c>
      <c r="BF41">
        <v>94</v>
      </c>
      <c r="BG41">
        <v>65.531199999999998</v>
      </c>
      <c r="BJ41">
        <v>39</v>
      </c>
      <c r="BK41">
        <v>59.35</v>
      </c>
      <c r="BL41">
        <v>100</v>
      </c>
      <c r="BM41">
        <v>37.35</v>
      </c>
      <c r="BP41">
        <v>39</v>
      </c>
      <c r="BQ41">
        <v>89.206900000000005</v>
      </c>
      <c r="BR41">
        <v>97</v>
      </c>
      <c r="BS41">
        <v>44.069000000000003</v>
      </c>
      <c r="BV41">
        <v>39</v>
      </c>
      <c r="BW41">
        <v>79.484800000000007</v>
      </c>
      <c r="BX41">
        <v>106</v>
      </c>
      <c r="BY41">
        <v>43.606099999999998</v>
      </c>
      <c r="CB41">
        <v>39</v>
      </c>
      <c r="CC41">
        <v>56.697000000000003</v>
      </c>
      <c r="CD41">
        <v>114</v>
      </c>
      <c r="CE41">
        <v>35.818199999999997</v>
      </c>
      <c r="CH41">
        <v>39</v>
      </c>
      <c r="CI41">
        <v>49.5</v>
      </c>
      <c r="CJ41">
        <v>116</v>
      </c>
      <c r="CK41">
        <v>63.444400000000002</v>
      </c>
      <c r="CN41">
        <v>39</v>
      </c>
      <c r="CO41">
        <v>68.948700000000002</v>
      </c>
      <c r="CP41">
        <v>107</v>
      </c>
      <c r="CQ41">
        <v>39.564100000000003</v>
      </c>
      <c r="CT41">
        <v>39</v>
      </c>
      <c r="CU41">
        <v>63.085700000000003</v>
      </c>
      <c r="CV41">
        <v>109</v>
      </c>
      <c r="CW41">
        <v>47.6571</v>
      </c>
      <c r="CZ41">
        <v>39</v>
      </c>
      <c r="DA41">
        <v>55.4878</v>
      </c>
      <c r="DB41">
        <v>130</v>
      </c>
      <c r="DC41">
        <v>76.9756</v>
      </c>
      <c r="DF41">
        <v>39</v>
      </c>
      <c r="DG41">
        <v>69.377799999999993</v>
      </c>
      <c r="DH41">
        <v>116</v>
      </c>
      <c r="DI41">
        <v>54.044400000000003</v>
      </c>
    </row>
    <row r="42" spans="2:113" x14ac:dyDescent="0.3">
      <c r="B42">
        <v>40</v>
      </c>
      <c r="C42">
        <v>65.3947</v>
      </c>
      <c r="D42">
        <v>120</v>
      </c>
      <c r="E42">
        <v>60.473700000000001</v>
      </c>
      <c r="H42">
        <v>40</v>
      </c>
      <c r="I42">
        <v>63.366700000000002</v>
      </c>
      <c r="J42">
        <v>97</v>
      </c>
      <c r="K42">
        <v>33.466700000000003</v>
      </c>
      <c r="N42">
        <v>40</v>
      </c>
      <c r="O42">
        <v>55.882399999999997</v>
      </c>
      <c r="P42">
        <v>112</v>
      </c>
      <c r="Q42">
        <v>59.970599999999997</v>
      </c>
      <c r="T42">
        <v>40</v>
      </c>
      <c r="U42">
        <v>80</v>
      </c>
      <c r="V42">
        <v>102</v>
      </c>
      <c r="W42">
        <v>50.208300000000001</v>
      </c>
      <c r="Z42">
        <v>40</v>
      </c>
      <c r="AA42">
        <v>61.357100000000003</v>
      </c>
      <c r="AB42">
        <v>110</v>
      </c>
      <c r="AC42">
        <v>58.892899999999997</v>
      </c>
      <c r="AF42">
        <v>40</v>
      </c>
      <c r="AG42">
        <v>52.25</v>
      </c>
      <c r="AH42">
        <v>107</v>
      </c>
      <c r="AI42">
        <v>42.357100000000003</v>
      </c>
      <c r="AL42">
        <v>40</v>
      </c>
      <c r="AM42">
        <v>46.666699999999999</v>
      </c>
      <c r="AN42">
        <v>112</v>
      </c>
      <c r="AO42">
        <v>50.4</v>
      </c>
      <c r="AR42">
        <v>40</v>
      </c>
      <c r="AS42">
        <v>81.896600000000007</v>
      </c>
      <c r="AT42">
        <v>94</v>
      </c>
      <c r="AU42">
        <v>43.137900000000002</v>
      </c>
      <c r="AX42">
        <v>40</v>
      </c>
      <c r="AY42">
        <v>52.833300000000001</v>
      </c>
      <c r="AZ42">
        <v>109</v>
      </c>
      <c r="BA42">
        <v>35.666699999999999</v>
      </c>
      <c r="BD42">
        <v>40</v>
      </c>
      <c r="BE42">
        <v>79.625</v>
      </c>
      <c r="BF42">
        <v>95</v>
      </c>
      <c r="BG42">
        <v>65.3125</v>
      </c>
      <c r="BJ42">
        <v>40</v>
      </c>
      <c r="BK42">
        <v>60.15</v>
      </c>
      <c r="BL42">
        <v>101</v>
      </c>
      <c r="BM42">
        <v>36.950000000000003</v>
      </c>
      <c r="BP42">
        <v>40</v>
      </c>
      <c r="BQ42">
        <v>90.310299999999998</v>
      </c>
      <c r="BR42">
        <v>98</v>
      </c>
      <c r="BS42">
        <v>42.482799999999997</v>
      </c>
      <c r="BV42">
        <v>40</v>
      </c>
      <c r="BW42">
        <v>84.2727</v>
      </c>
      <c r="BX42">
        <v>107</v>
      </c>
      <c r="BY42">
        <v>42.848500000000001</v>
      </c>
      <c r="CB42">
        <v>40</v>
      </c>
      <c r="CC42">
        <v>57.636400000000002</v>
      </c>
      <c r="CD42">
        <v>115</v>
      </c>
      <c r="CE42">
        <v>35.302999999999997</v>
      </c>
      <c r="CH42">
        <v>40</v>
      </c>
      <c r="CI42">
        <v>49.777799999999999</v>
      </c>
      <c r="CJ42">
        <v>117</v>
      </c>
      <c r="CK42">
        <v>61.222200000000001</v>
      </c>
      <c r="CN42">
        <v>40</v>
      </c>
      <c r="CO42">
        <v>70.153800000000004</v>
      </c>
      <c r="CP42">
        <v>108</v>
      </c>
      <c r="CQ42">
        <v>39.512799999999999</v>
      </c>
      <c r="CT42">
        <v>40</v>
      </c>
      <c r="CU42">
        <v>63.714300000000001</v>
      </c>
      <c r="CV42">
        <v>110</v>
      </c>
      <c r="CW42">
        <v>46.314300000000003</v>
      </c>
      <c r="CZ42">
        <v>40</v>
      </c>
      <c r="DA42">
        <v>55.4146</v>
      </c>
      <c r="DB42">
        <v>131</v>
      </c>
      <c r="DC42">
        <v>74.512200000000007</v>
      </c>
      <c r="DF42">
        <v>40</v>
      </c>
      <c r="DG42">
        <v>74.155600000000007</v>
      </c>
      <c r="DH42">
        <v>117</v>
      </c>
      <c r="DI42">
        <v>51.755600000000001</v>
      </c>
    </row>
    <row r="43" spans="2:113" x14ac:dyDescent="0.3">
      <c r="B43">
        <v>41</v>
      </c>
      <c r="C43">
        <v>67.973699999999994</v>
      </c>
      <c r="D43">
        <v>121</v>
      </c>
      <c r="E43">
        <v>59.6053</v>
      </c>
      <c r="H43">
        <v>41</v>
      </c>
      <c r="I43">
        <v>65.400000000000006</v>
      </c>
      <c r="J43">
        <v>98</v>
      </c>
      <c r="K43">
        <v>32.7333</v>
      </c>
      <c r="N43">
        <v>41</v>
      </c>
      <c r="O43">
        <v>57.058799999999998</v>
      </c>
      <c r="P43">
        <v>113</v>
      </c>
      <c r="Q43">
        <v>56.058799999999998</v>
      </c>
      <c r="T43">
        <v>41</v>
      </c>
      <c r="U43">
        <v>81.208299999999994</v>
      </c>
      <c r="V43">
        <v>103</v>
      </c>
      <c r="W43">
        <v>46.625</v>
      </c>
      <c r="Z43">
        <v>41</v>
      </c>
      <c r="AA43">
        <v>63.607100000000003</v>
      </c>
      <c r="AB43">
        <v>111</v>
      </c>
      <c r="AC43">
        <v>57.428600000000003</v>
      </c>
      <c r="AF43">
        <v>41</v>
      </c>
      <c r="AG43">
        <v>54.821399999999997</v>
      </c>
      <c r="AH43">
        <v>108</v>
      </c>
      <c r="AI43">
        <v>42.107100000000003</v>
      </c>
      <c r="AL43">
        <v>41</v>
      </c>
      <c r="AM43">
        <v>48.7333</v>
      </c>
      <c r="AN43">
        <v>113</v>
      </c>
      <c r="AO43">
        <v>49.5</v>
      </c>
      <c r="AR43">
        <v>41</v>
      </c>
      <c r="AS43">
        <v>82.172399999999996</v>
      </c>
      <c r="AT43">
        <v>95</v>
      </c>
      <c r="AU43">
        <v>42.827599999999997</v>
      </c>
      <c r="AX43">
        <v>41</v>
      </c>
      <c r="AY43">
        <v>55.625</v>
      </c>
      <c r="AZ43">
        <v>110</v>
      </c>
      <c r="BA43">
        <v>34.875</v>
      </c>
      <c r="BD43">
        <v>41</v>
      </c>
      <c r="BE43">
        <v>81.875</v>
      </c>
      <c r="BF43">
        <v>96</v>
      </c>
      <c r="BG43">
        <v>65.375</v>
      </c>
      <c r="BJ43">
        <v>41</v>
      </c>
      <c r="BK43">
        <v>61.5</v>
      </c>
      <c r="BL43">
        <v>102</v>
      </c>
      <c r="BM43">
        <v>37.1</v>
      </c>
      <c r="BP43">
        <v>41</v>
      </c>
      <c r="BQ43">
        <v>91.965500000000006</v>
      </c>
      <c r="BR43">
        <v>99</v>
      </c>
      <c r="BS43">
        <v>40.758600000000001</v>
      </c>
      <c r="BV43">
        <v>41</v>
      </c>
      <c r="BW43">
        <v>87.818200000000004</v>
      </c>
      <c r="BX43">
        <v>108</v>
      </c>
      <c r="BY43">
        <v>43.030299999999997</v>
      </c>
      <c r="CB43">
        <v>41</v>
      </c>
      <c r="CC43">
        <v>58.848500000000001</v>
      </c>
      <c r="CD43">
        <v>116</v>
      </c>
      <c r="CE43">
        <v>35.121200000000002</v>
      </c>
      <c r="CH43">
        <v>41</v>
      </c>
      <c r="CI43">
        <v>50.416699999999999</v>
      </c>
      <c r="CJ43">
        <v>118</v>
      </c>
      <c r="CK43">
        <v>58.75</v>
      </c>
      <c r="CN43">
        <v>41</v>
      </c>
      <c r="CO43">
        <v>71.641000000000005</v>
      </c>
      <c r="CP43">
        <v>109</v>
      </c>
      <c r="CQ43">
        <v>39.410299999999999</v>
      </c>
      <c r="CT43">
        <v>41</v>
      </c>
      <c r="CU43">
        <v>63.571399999999997</v>
      </c>
      <c r="CV43">
        <v>111</v>
      </c>
      <c r="CW43">
        <v>45.371400000000001</v>
      </c>
      <c r="CZ43">
        <v>41</v>
      </c>
      <c r="DA43">
        <v>55.317100000000003</v>
      </c>
      <c r="DB43">
        <v>132</v>
      </c>
      <c r="DC43">
        <v>71.438999999999993</v>
      </c>
      <c r="DF43">
        <v>41</v>
      </c>
      <c r="DG43">
        <v>78.222200000000001</v>
      </c>
      <c r="DH43">
        <v>118</v>
      </c>
      <c r="DI43">
        <v>50.311100000000003</v>
      </c>
    </row>
    <row r="44" spans="2:113" x14ac:dyDescent="0.3">
      <c r="B44">
        <v>42</v>
      </c>
      <c r="C44">
        <v>69.736800000000002</v>
      </c>
      <c r="D44">
        <v>122</v>
      </c>
      <c r="E44">
        <v>58.342100000000002</v>
      </c>
      <c r="H44">
        <v>42</v>
      </c>
      <c r="I44">
        <v>67.533299999999997</v>
      </c>
      <c r="J44">
        <v>99</v>
      </c>
      <c r="K44">
        <v>32.666699999999999</v>
      </c>
      <c r="N44">
        <v>42</v>
      </c>
      <c r="O44">
        <v>59.323500000000003</v>
      </c>
      <c r="P44">
        <v>114</v>
      </c>
      <c r="Q44">
        <v>52.941200000000002</v>
      </c>
      <c r="T44">
        <v>42</v>
      </c>
      <c r="U44">
        <v>82.333299999999994</v>
      </c>
      <c r="V44">
        <v>104</v>
      </c>
      <c r="W44">
        <v>43.458300000000001</v>
      </c>
      <c r="Z44">
        <v>42</v>
      </c>
      <c r="AA44">
        <v>65.607100000000003</v>
      </c>
      <c r="AB44">
        <v>112</v>
      </c>
      <c r="AC44">
        <v>54.714300000000001</v>
      </c>
      <c r="AF44">
        <v>42</v>
      </c>
      <c r="AG44">
        <v>58.035699999999999</v>
      </c>
      <c r="AH44">
        <v>109</v>
      </c>
      <c r="AI44">
        <v>40.607100000000003</v>
      </c>
      <c r="AL44">
        <v>42</v>
      </c>
      <c r="AM44">
        <v>49.833300000000001</v>
      </c>
      <c r="AN44">
        <v>114</v>
      </c>
      <c r="AO44">
        <v>48.933300000000003</v>
      </c>
      <c r="AR44">
        <v>42</v>
      </c>
      <c r="AS44">
        <v>81.482799999999997</v>
      </c>
      <c r="AT44">
        <v>96</v>
      </c>
      <c r="AU44">
        <v>41.758600000000001</v>
      </c>
      <c r="AX44">
        <v>42</v>
      </c>
      <c r="AY44">
        <v>58.583300000000001</v>
      </c>
      <c r="AZ44">
        <v>111</v>
      </c>
      <c r="BA44">
        <v>33.791699999999999</v>
      </c>
      <c r="BD44">
        <v>42</v>
      </c>
      <c r="BE44">
        <v>84.5</v>
      </c>
      <c r="BF44">
        <v>97</v>
      </c>
      <c r="BG44">
        <v>66.406199999999998</v>
      </c>
      <c r="BJ44">
        <v>42</v>
      </c>
      <c r="BK44">
        <v>63.6</v>
      </c>
      <c r="BL44">
        <v>103</v>
      </c>
      <c r="BM44">
        <v>37.049999999999997</v>
      </c>
      <c r="BP44">
        <v>42</v>
      </c>
      <c r="BQ44">
        <v>93.724100000000007</v>
      </c>
      <c r="BR44">
        <v>100</v>
      </c>
      <c r="BS44">
        <v>39.655200000000001</v>
      </c>
      <c r="BV44">
        <v>42</v>
      </c>
      <c r="BW44">
        <v>90.121200000000002</v>
      </c>
      <c r="BX44">
        <v>109</v>
      </c>
      <c r="BY44">
        <v>42.878799999999998</v>
      </c>
      <c r="CB44">
        <v>42</v>
      </c>
      <c r="CC44">
        <v>61.424199999999999</v>
      </c>
      <c r="CD44">
        <v>117</v>
      </c>
      <c r="CE44">
        <v>34.878799999999998</v>
      </c>
      <c r="CH44">
        <v>42</v>
      </c>
      <c r="CI44">
        <v>51.777799999999999</v>
      </c>
      <c r="CJ44">
        <v>119</v>
      </c>
      <c r="CK44">
        <v>55.833300000000001</v>
      </c>
      <c r="CN44">
        <v>42</v>
      </c>
      <c r="CO44">
        <v>73.666700000000006</v>
      </c>
      <c r="CP44">
        <v>110</v>
      </c>
      <c r="CQ44">
        <v>39.025599999999997</v>
      </c>
      <c r="CT44">
        <v>42</v>
      </c>
      <c r="CU44">
        <v>63.371400000000001</v>
      </c>
      <c r="CV44">
        <v>112</v>
      </c>
      <c r="CW44">
        <v>44.3429</v>
      </c>
      <c r="CZ44">
        <v>42</v>
      </c>
      <c r="DA44">
        <v>56.219499999999996</v>
      </c>
      <c r="DB44">
        <v>133</v>
      </c>
      <c r="DC44">
        <v>68.561000000000007</v>
      </c>
      <c r="DF44">
        <v>42</v>
      </c>
      <c r="DG44">
        <v>80.755600000000001</v>
      </c>
      <c r="DH44">
        <v>119</v>
      </c>
      <c r="DI44">
        <v>49.088900000000002</v>
      </c>
    </row>
    <row r="45" spans="2:113" x14ac:dyDescent="0.3">
      <c r="B45">
        <v>43</v>
      </c>
      <c r="C45">
        <v>71.315799999999996</v>
      </c>
      <c r="D45">
        <v>123</v>
      </c>
      <c r="E45">
        <v>56.315800000000003</v>
      </c>
      <c r="H45">
        <v>43</v>
      </c>
      <c r="I45">
        <v>70.2667</v>
      </c>
      <c r="J45">
        <v>100</v>
      </c>
      <c r="K45">
        <v>32.666699999999999</v>
      </c>
      <c r="N45">
        <v>43</v>
      </c>
      <c r="O45">
        <v>61.823500000000003</v>
      </c>
      <c r="P45">
        <v>115</v>
      </c>
      <c r="Q45">
        <v>50.676499999999997</v>
      </c>
      <c r="T45">
        <v>43</v>
      </c>
      <c r="U45">
        <v>83.291700000000006</v>
      </c>
      <c r="V45">
        <v>105</v>
      </c>
      <c r="W45">
        <v>42.333300000000001</v>
      </c>
      <c r="Z45">
        <v>43</v>
      </c>
      <c r="AA45">
        <v>67.035700000000006</v>
      </c>
      <c r="AB45">
        <v>113</v>
      </c>
      <c r="AC45">
        <v>51.928600000000003</v>
      </c>
      <c r="AF45">
        <v>43</v>
      </c>
      <c r="AG45">
        <v>60.464300000000001</v>
      </c>
      <c r="AH45">
        <v>110</v>
      </c>
      <c r="AI45">
        <v>38.535699999999999</v>
      </c>
      <c r="AL45">
        <v>43</v>
      </c>
      <c r="AM45">
        <v>50.366700000000002</v>
      </c>
      <c r="AN45">
        <v>115</v>
      </c>
      <c r="AO45">
        <v>48.2333</v>
      </c>
      <c r="AR45">
        <v>43</v>
      </c>
      <c r="AS45">
        <v>82.275899999999993</v>
      </c>
      <c r="AT45">
        <v>97</v>
      </c>
      <c r="AU45">
        <v>40.586199999999998</v>
      </c>
      <c r="AX45">
        <v>43</v>
      </c>
      <c r="AY45">
        <v>60.708300000000001</v>
      </c>
      <c r="AZ45">
        <v>112</v>
      </c>
      <c r="BA45">
        <v>32.541699999999999</v>
      </c>
      <c r="BD45">
        <v>43</v>
      </c>
      <c r="BE45">
        <v>86.468800000000002</v>
      </c>
      <c r="BF45">
        <v>98</v>
      </c>
      <c r="BG45">
        <v>68</v>
      </c>
      <c r="BJ45">
        <v>43</v>
      </c>
      <c r="BK45">
        <v>65.849999999999994</v>
      </c>
      <c r="BL45">
        <v>104</v>
      </c>
      <c r="BM45">
        <v>36.6</v>
      </c>
      <c r="BP45">
        <v>43</v>
      </c>
      <c r="BQ45">
        <v>95.103399999999993</v>
      </c>
      <c r="BR45">
        <v>101</v>
      </c>
      <c r="BS45">
        <v>39.620699999999999</v>
      </c>
      <c r="BV45">
        <v>43</v>
      </c>
      <c r="BW45">
        <v>92.121200000000002</v>
      </c>
      <c r="BX45">
        <v>110</v>
      </c>
      <c r="BY45">
        <v>42.242400000000004</v>
      </c>
      <c r="CB45">
        <v>43</v>
      </c>
      <c r="CC45">
        <v>63.545499999999997</v>
      </c>
      <c r="CD45">
        <v>118</v>
      </c>
      <c r="CE45">
        <v>34.818199999999997</v>
      </c>
      <c r="CH45">
        <v>43</v>
      </c>
      <c r="CI45">
        <v>52.694400000000002</v>
      </c>
      <c r="CJ45">
        <v>120</v>
      </c>
      <c r="CK45">
        <v>52.666699999999999</v>
      </c>
      <c r="CN45">
        <v>43</v>
      </c>
      <c r="CO45">
        <v>75.743600000000001</v>
      </c>
      <c r="CP45">
        <v>111</v>
      </c>
      <c r="CQ45">
        <v>38.846200000000003</v>
      </c>
      <c r="CT45">
        <v>43</v>
      </c>
      <c r="CU45">
        <v>63.914299999999997</v>
      </c>
      <c r="CV45">
        <v>113</v>
      </c>
      <c r="CW45">
        <v>43.1143</v>
      </c>
      <c r="CZ45">
        <v>43</v>
      </c>
      <c r="DA45">
        <v>57.219499999999996</v>
      </c>
      <c r="DB45">
        <v>134</v>
      </c>
      <c r="DC45">
        <v>66.682900000000004</v>
      </c>
      <c r="DF45">
        <v>43</v>
      </c>
      <c r="DG45">
        <v>81.711100000000002</v>
      </c>
      <c r="DH45">
        <v>120</v>
      </c>
      <c r="DI45">
        <v>47.755600000000001</v>
      </c>
    </row>
    <row r="46" spans="2:113" x14ac:dyDescent="0.3">
      <c r="B46">
        <v>44</v>
      </c>
      <c r="C46">
        <v>73.3947</v>
      </c>
      <c r="D46">
        <v>124</v>
      </c>
      <c r="E46">
        <v>53.842100000000002</v>
      </c>
      <c r="H46">
        <v>44</v>
      </c>
      <c r="I46">
        <v>72.2</v>
      </c>
      <c r="J46">
        <v>101</v>
      </c>
      <c r="K46">
        <v>32.366700000000002</v>
      </c>
      <c r="N46">
        <v>44</v>
      </c>
      <c r="O46">
        <v>64.264700000000005</v>
      </c>
      <c r="P46">
        <v>116</v>
      </c>
      <c r="Q46">
        <v>48.352899999999998</v>
      </c>
      <c r="T46">
        <v>44</v>
      </c>
      <c r="U46">
        <v>83.833299999999994</v>
      </c>
      <c r="V46">
        <v>106</v>
      </c>
      <c r="W46">
        <v>43.083300000000001</v>
      </c>
      <c r="Z46">
        <v>44</v>
      </c>
      <c r="AA46">
        <v>68.321399999999997</v>
      </c>
      <c r="AB46">
        <v>114</v>
      </c>
      <c r="AC46">
        <v>50.5</v>
      </c>
      <c r="AF46">
        <v>44</v>
      </c>
      <c r="AG46">
        <v>62.035699999999999</v>
      </c>
      <c r="AH46">
        <v>111</v>
      </c>
      <c r="AI46">
        <v>37</v>
      </c>
      <c r="AL46">
        <v>44</v>
      </c>
      <c r="AM46">
        <v>50.466700000000003</v>
      </c>
      <c r="AN46">
        <v>116</v>
      </c>
      <c r="AO46">
        <v>47.033299999999997</v>
      </c>
      <c r="AR46">
        <v>44</v>
      </c>
      <c r="AS46">
        <v>84</v>
      </c>
      <c r="AT46">
        <v>98</v>
      </c>
      <c r="AU46">
        <v>40.206899999999997</v>
      </c>
      <c r="AX46">
        <v>44</v>
      </c>
      <c r="AY46">
        <v>62.041699999999999</v>
      </c>
      <c r="AZ46">
        <v>113</v>
      </c>
      <c r="BA46">
        <v>31.5</v>
      </c>
      <c r="BD46">
        <v>44</v>
      </c>
      <c r="BE46">
        <v>87.468800000000002</v>
      </c>
      <c r="BF46">
        <v>99</v>
      </c>
      <c r="BG46">
        <v>69.718800000000002</v>
      </c>
      <c r="BJ46">
        <v>44</v>
      </c>
      <c r="BK46">
        <v>66</v>
      </c>
      <c r="BL46">
        <v>105</v>
      </c>
      <c r="BM46">
        <v>36.049999999999997</v>
      </c>
      <c r="BP46">
        <v>44</v>
      </c>
      <c r="BQ46">
        <v>95.793099999999995</v>
      </c>
      <c r="BR46">
        <v>102</v>
      </c>
      <c r="BS46">
        <v>39.517200000000003</v>
      </c>
      <c r="BV46">
        <v>44</v>
      </c>
      <c r="BW46">
        <v>93.575800000000001</v>
      </c>
      <c r="BX46">
        <v>111</v>
      </c>
      <c r="BY46">
        <v>41.2121</v>
      </c>
      <c r="CB46">
        <v>44</v>
      </c>
      <c r="CC46">
        <v>65</v>
      </c>
      <c r="CD46">
        <v>119</v>
      </c>
      <c r="CE46">
        <v>33.939399999999999</v>
      </c>
      <c r="CH46">
        <v>44</v>
      </c>
      <c r="CI46">
        <v>53.527799999999999</v>
      </c>
      <c r="CJ46">
        <v>121</v>
      </c>
      <c r="CK46">
        <v>49.333300000000001</v>
      </c>
      <c r="CN46">
        <v>44</v>
      </c>
      <c r="CO46">
        <v>77.820499999999996</v>
      </c>
      <c r="CP46">
        <v>112</v>
      </c>
      <c r="CQ46">
        <v>38.615400000000001</v>
      </c>
      <c r="CT46">
        <v>44</v>
      </c>
      <c r="CU46">
        <v>65.2</v>
      </c>
      <c r="CV46">
        <v>114</v>
      </c>
      <c r="CW46">
        <v>41.571399999999997</v>
      </c>
      <c r="CZ46">
        <v>44</v>
      </c>
      <c r="DA46">
        <v>59.0244</v>
      </c>
      <c r="DB46">
        <v>135</v>
      </c>
      <c r="DC46">
        <v>65.219499999999996</v>
      </c>
      <c r="DF46">
        <v>44</v>
      </c>
      <c r="DG46">
        <v>82.111099999999993</v>
      </c>
      <c r="DH46">
        <v>121</v>
      </c>
      <c r="DI46">
        <v>46.711100000000002</v>
      </c>
    </row>
    <row r="47" spans="2:113" x14ac:dyDescent="0.3">
      <c r="B47">
        <v>45</v>
      </c>
      <c r="C47">
        <v>75.131600000000006</v>
      </c>
      <c r="D47">
        <v>125</v>
      </c>
      <c r="E47">
        <v>52.1053</v>
      </c>
      <c r="H47">
        <v>45</v>
      </c>
      <c r="I47">
        <v>73.566699999999997</v>
      </c>
      <c r="J47">
        <v>102</v>
      </c>
      <c r="K47">
        <v>31.633299999999998</v>
      </c>
      <c r="N47">
        <v>45</v>
      </c>
      <c r="O47">
        <v>66.647099999999995</v>
      </c>
      <c r="P47">
        <v>117</v>
      </c>
      <c r="Q47">
        <v>46.382399999999997</v>
      </c>
      <c r="T47">
        <v>45</v>
      </c>
      <c r="U47">
        <v>84.625</v>
      </c>
      <c r="V47">
        <v>107</v>
      </c>
      <c r="W47">
        <v>43.666699999999999</v>
      </c>
      <c r="Z47">
        <v>45</v>
      </c>
      <c r="AA47">
        <v>69.285700000000006</v>
      </c>
      <c r="AB47">
        <v>115</v>
      </c>
      <c r="AC47">
        <v>49.75</v>
      </c>
      <c r="AF47">
        <v>45</v>
      </c>
      <c r="AG47">
        <v>64.464299999999994</v>
      </c>
      <c r="AH47">
        <v>112</v>
      </c>
      <c r="AI47">
        <v>35.714300000000001</v>
      </c>
      <c r="AL47">
        <v>45</v>
      </c>
      <c r="AM47">
        <v>50.466700000000003</v>
      </c>
      <c r="AN47">
        <v>117</v>
      </c>
      <c r="AO47">
        <v>46.066699999999997</v>
      </c>
      <c r="AR47">
        <v>45</v>
      </c>
      <c r="AS47">
        <v>84.482799999999997</v>
      </c>
      <c r="AT47">
        <v>99</v>
      </c>
      <c r="AU47">
        <v>39.758600000000001</v>
      </c>
      <c r="AX47">
        <v>45</v>
      </c>
      <c r="AY47">
        <v>63.291699999999999</v>
      </c>
      <c r="AZ47">
        <v>114</v>
      </c>
      <c r="BA47">
        <v>30.833300000000001</v>
      </c>
      <c r="BD47">
        <v>45</v>
      </c>
      <c r="BE47">
        <v>88.8125</v>
      </c>
      <c r="BF47">
        <v>100</v>
      </c>
      <c r="BG47">
        <v>71.125</v>
      </c>
      <c r="BJ47">
        <v>45</v>
      </c>
      <c r="BK47">
        <v>65.3</v>
      </c>
      <c r="BL47">
        <v>106</v>
      </c>
      <c r="BM47">
        <v>35.450000000000003</v>
      </c>
      <c r="BP47">
        <v>45</v>
      </c>
      <c r="BQ47">
        <v>95.965500000000006</v>
      </c>
      <c r="BR47">
        <v>103</v>
      </c>
      <c r="BS47">
        <v>38.965499999999999</v>
      </c>
      <c r="BV47">
        <v>45</v>
      </c>
      <c r="BW47">
        <v>94.575800000000001</v>
      </c>
      <c r="BX47">
        <v>112</v>
      </c>
      <c r="BY47">
        <v>39.697000000000003</v>
      </c>
      <c r="CB47">
        <v>45</v>
      </c>
      <c r="CC47">
        <v>67</v>
      </c>
      <c r="CD47">
        <v>120</v>
      </c>
      <c r="CE47">
        <v>33.181800000000003</v>
      </c>
      <c r="CH47">
        <v>45</v>
      </c>
      <c r="CI47">
        <v>54.8611</v>
      </c>
      <c r="CJ47">
        <v>122</v>
      </c>
      <c r="CK47">
        <v>46.305599999999998</v>
      </c>
      <c r="CN47">
        <v>45</v>
      </c>
      <c r="CO47">
        <v>79.384600000000006</v>
      </c>
      <c r="CP47">
        <v>113</v>
      </c>
      <c r="CQ47">
        <v>38.359000000000002</v>
      </c>
      <c r="CT47">
        <v>45</v>
      </c>
      <c r="CU47">
        <v>66</v>
      </c>
      <c r="CV47">
        <v>115</v>
      </c>
      <c r="CW47">
        <v>39.2286</v>
      </c>
      <c r="CZ47">
        <v>45</v>
      </c>
      <c r="DA47">
        <v>60.9756</v>
      </c>
      <c r="DB47">
        <v>136</v>
      </c>
      <c r="DC47">
        <v>64.146299999999997</v>
      </c>
      <c r="DF47">
        <v>45</v>
      </c>
      <c r="DG47">
        <v>82.422200000000004</v>
      </c>
      <c r="DH47">
        <v>122</v>
      </c>
      <c r="DI47">
        <v>46.422199999999997</v>
      </c>
    </row>
    <row r="48" spans="2:113" x14ac:dyDescent="0.3">
      <c r="B48">
        <v>46</v>
      </c>
      <c r="C48">
        <v>76.6053</v>
      </c>
      <c r="D48">
        <v>126</v>
      </c>
      <c r="E48">
        <v>51</v>
      </c>
      <c r="H48">
        <v>46</v>
      </c>
      <c r="I48">
        <v>74.966700000000003</v>
      </c>
      <c r="J48">
        <v>103</v>
      </c>
      <c r="K48">
        <v>30.966699999999999</v>
      </c>
      <c r="N48">
        <v>46</v>
      </c>
      <c r="O48">
        <v>70.264700000000005</v>
      </c>
      <c r="P48">
        <v>118</v>
      </c>
      <c r="Q48">
        <v>45.617600000000003</v>
      </c>
      <c r="T48">
        <v>46</v>
      </c>
      <c r="U48">
        <v>85.041700000000006</v>
      </c>
      <c r="V48">
        <v>108</v>
      </c>
      <c r="W48">
        <v>43.291699999999999</v>
      </c>
      <c r="Z48">
        <v>46</v>
      </c>
      <c r="AA48">
        <v>69.642899999999997</v>
      </c>
      <c r="AB48">
        <v>116</v>
      </c>
      <c r="AC48">
        <v>48.928600000000003</v>
      </c>
      <c r="AF48">
        <v>46</v>
      </c>
      <c r="AG48">
        <v>68.142899999999997</v>
      </c>
      <c r="AH48">
        <v>113</v>
      </c>
      <c r="AI48">
        <v>34.714300000000001</v>
      </c>
      <c r="AL48">
        <v>46</v>
      </c>
      <c r="AM48">
        <v>51.033299999999997</v>
      </c>
      <c r="AN48">
        <v>118</v>
      </c>
      <c r="AO48">
        <v>45.366700000000002</v>
      </c>
      <c r="AR48">
        <v>46</v>
      </c>
      <c r="AS48">
        <v>84.448300000000003</v>
      </c>
      <c r="AT48">
        <v>100</v>
      </c>
      <c r="AU48">
        <v>39.034500000000001</v>
      </c>
      <c r="AX48">
        <v>46</v>
      </c>
      <c r="AY48">
        <v>65</v>
      </c>
      <c r="AZ48">
        <v>115</v>
      </c>
      <c r="BA48">
        <v>30.25</v>
      </c>
      <c r="BD48">
        <v>46</v>
      </c>
      <c r="BE48">
        <v>90.281199999999998</v>
      </c>
      <c r="BF48">
        <v>101</v>
      </c>
      <c r="BG48">
        <v>71.75</v>
      </c>
      <c r="BJ48">
        <v>46</v>
      </c>
      <c r="BK48">
        <v>65.650000000000006</v>
      </c>
      <c r="BL48">
        <v>107</v>
      </c>
      <c r="BM48">
        <v>34.799999999999997</v>
      </c>
      <c r="BP48">
        <v>46</v>
      </c>
      <c r="BQ48">
        <v>95.655199999999994</v>
      </c>
      <c r="BR48">
        <v>104</v>
      </c>
      <c r="BS48">
        <v>37.413800000000002</v>
      </c>
      <c r="BV48">
        <v>46</v>
      </c>
      <c r="BW48">
        <v>95</v>
      </c>
      <c r="BX48">
        <v>113</v>
      </c>
      <c r="BY48">
        <v>38.4848</v>
      </c>
      <c r="CB48">
        <v>46</v>
      </c>
      <c r="CC48">
        <v>69.333299999999994</v>
      </c>
      <c r="CD48">
        <v>121</v>
      </c>
      <c r="CE48">
        <v>32.393900000000002</v>
      </c>
      <c r="CH48">
        <v>46</v>
      </c>
      <c r="CI48">
        <v>56.833300000000001</v>
      </c>
      <c r="CJ48">
        <v>123</v>
      </c>
      <c r="CK48">
        <v>43.722200000000001</v>
      </c>
      <c r="CN48">
        <v>46</v>
      </c>
      <c r="CO48">
        <v>81.179500000000004</v>
      </c>
      <c r="CP48">
        <v>114</v>
      </c>
      <c r="CQ48">
        <v>37.769199999999998</v>
      </c>
      <c r="CT48">
        <v>46</v>
      </c>
      <c r="CU48">
        <v>66.1143</v>
      </c>
      <c r="CV48">
        <v>116</v>
      </c>
      <c r="CW48">
        <v>37.057099999999998</v>
      </c>
      <c r="CZ48">
        <v>46</v>
      </c>
      <c r="DA48">
        <v>63.146299999999997</v>
      </c>
      <c r="DB48">
        <v>137</v>
      </c>
      <c r="DC48">
        <v>63.0732</v>
      </c>
      <c r="DF48">
        <v>46</v>
      </c>
      <c r="DG48">
        <v>83.044399999999996</v>
      </c>
      <c r="DH48">
        <v>123</v>
      </c>
      <c r="DI48">
        <v>45.822200000000002</v>
      </c>
    </row>
    <row r="49" spans="2:113" x14ac:dyDescent="0.3">
      <c r="B49">
        <v>47</v>
      </c>
      <c r="C49">
        <v>78.289500000000004</v>
      </c>
      <c r="D49">
        <v>127</v>
      </c>
      <c r="E49">
        <v>49.578899999999997</v>
      </c>
      <c r="H49">
        <v>47</v>
      </c>
      <c r="I49">
        <v>77.333299999999994</v>
      </c>
      <c r="J49">
        <v>104</v>
      </c>
      <c r="K49">
        <v>30.7</v>
      </c>
      <c r="N49">
        <v>47</v>
      </c>
      <c r="O49">
        <v>73.382400000000004</v>
      </c>
      <c r="P49">
        <v>119</v>
      </c>
      <c r="Q49">
        <v>45.176499999999997</v>
      </c>
      <c r="T49">
        <v>47</v>
      </c>
      <c r="U49">
        <v>85.583299999999994</v>
      </c>
      <c r="V49">
        <v>109</v>
      </c>
      <c r="W49">
        <v>41.375</v>
      </c>
      <c r="Z49">
        <v>47</v>
      </c>
      <c r="AA49">
        <v>69.928600000000003</v>
      </c>
      <c r="AB49">
        <v>117</v>
      </c>
      <c r="AC49">
        <v>47.75</v>
      </c>
      <c r="AF49">
        <v>47</v>
      </c>
      <c r="AG49">
        <v>70.821399999999997</v>
      </c>
      <c r="AH49">
        <v>114</v>
      </c>
      <c r="AI49">
        <v>34.321399999999997</v>
      </c>
      <c r="AL49">
        <v>47</v>
      </c>
      <c r="AM49">
        <v>51.8</v>
      </c>
      <c r="AN49">
        <v>119</v>
      </c>
      <c r="AO49">
        <v>45.366700000000002</v>
      </c>
      <c r="AR49">
        <v>47</v>
      </c>
      <c r="AS49">
        <v>84.620699999999999</v>
      </c>
      <c r="AT49">
        <v>101</v>
      </c>
      <c r="AU49">
        <v>38.344799999999999</v>
      </c>
      <c r="AX49">
        <v>47</v>
      </c>
      <c r="AY49">
        <v>66.458299999999994</v>
      </c>
      <c r="AZ49">
        <v>116</v>
      </c>
      <c r="BA49">
        <v>30.041699999999999</v>
      </c>
      <c r="BD49">
        <v>47</v>
      </c>
      <c r="BE49">
        <v>91.406199999999998</v>
      </c>
      <c r="BF49">
        <v>102</v>
      </c>
      <c r="BG49">
        <v>69.875</v>
      </c>
      <c r="BJ49">
        <v>47</v>
      </c>
      <c r="BK49">
        <v>66.3</v>
      </c>
      <c r="BL49">
        <v>108</v>
      </c>
      <c r="BM49">
        <v>34.049999999999997</v>
      </c>
      <c r="BP49">
        <v>47</v>
      </c>
      <c r="BQ49">
        <v>96.310299999999998</v>
      </c>
      <c r="BR49">
        <v>105</v>
      </c>
      <c r="BS49">
        <v>35.793100000000003</v>
      </c>
      <c r="BV49">
        <v>47</v>
      </c>
      <c r="BW49">
        <v>95.666700000000006</v>
      </c>
      <c r="BX49">
        <v>114</v>
      </c>
      <c r="BY49">
        <v>37.666699999999999</v>
      </c>
      <c r="CB49">
        <v>47</v>
      </c>
      <c r="CC49">
        <v>70.878799999999998</v>
      </c>
      <c r="CD49">
        <v>122</v>
      </c>
      <c r="CE49">
        <v>31.909099999999999</v>
      </c>
      <c r="CH49">
        <v>47</v>
      </c>
      <c r="CI49">
        <v>59.055599999999998</v>
      </c>
      <c r="CJ49">
        <v>124</v>
      </c>
      <c r="CK49">
        <v>41.972200000000001</v>
      </c>
      <c r="CN49">
        <v>47</v>
      </c>
      <c r="CO49">
        <v>82</v>
      </c>
      <c r="CP49">
        <v>115</v>
      </c>
      <c r="CQ49">
        <v>36.974400000000003</v>
      </c>
      <c r="CT49">
        <v>47</v>
      </c>
      <c r="CU49">
        <v>65.371399999999994</v>
      </c>
      <c r="CV49">
        <v>117</v>
      </c>
      <c r="CW49">
        <v>35.542900000000003</v>
      </c>
      <c r="CZ49">
        <v>47</v>
      </c>
      <c r="DA49">
        <v>65.170699999999997</v>
      </c>
      <c r="DB49">
        <v>138</v>
      </c>
      <c r="DC49">
        <v>62.317100000000003</v>
      </c>
      <c r="DF49">
        <v>47</v>
      </c>
      <c r="DG49">
        <v>84.066699999999997</v>
      </c>
      <c r="DH49">
        <v>124</v>
      </c>
      <c r="DI49">
        <v>44.977800000000002</v>
      </c>
    </row>
    <row r="50" spans="2:113" x14ac:dyDescent="0.3">
      <c r="B50">
        <v>48</v>
      </c>
      <c r="C50">
        <v>80.342100000000002</v>
      </c>
      <c r="D50">
        <v>128</v>
      </c>
      <c r="E50">
        <v>48.8947</v>
      </c>
      <c r="H50">
        <v>48</v>
      </c>
      <c r="I50">
        <v>80.900000000000006</v>
      </c>
      <c r="J50">
        <v>105</v>
      </c>
      <c r="K50">
        <v>30.2667</v>
      </c>
      <c r="N50">
        <v>48</v>
      </c>
      <c r="O50">
        <v>75.029399999999995</v>
      </c>
      <c r="P50">
        <v>120</v>
      </c>
      <c r="Q50">
        <v>44.823500000000003</v>
      </c>
      <c r="T50">
        <v>48</v>
      </c>
      <c r="U50">
        <v>86.916700000000006</v>
      </c>
      <c r="V50">
        <v>110</v>
      </c>
      <c r="W50">
        <v>37.75</v>
      </c>
      <c r="Z50">
        <v>48</v>
      </c>
      <c r="AA50">
        <v>70.821399999999997</v>
      </c>
      <c r="AB50">
        <v>118</v>
      </c>
      <c r="AC50">
        <v>46.392899999999997</v>
      </c>
      <c r="AF50">
        <v>48</v>
      </c>
      <c r="AG50">
        <v>72.571399999999997</v>
      </c>
      <c r="AH50">
        <v>115</v>
      </c>
      <c r="AI50">
        <v>34.821399999999997</v>
      </c>
      <c r="AL50">
        <v>48</v>
      </c>
      <c r="AM50">
        <v>52.7333</v>
      </c>
      <c r="AN50">
        <v>120</v>
      </c>
      <c r="AO50">
        <v>45.066699999999997</v>
      </c>
      <c r="AR50">
        <v>48</v>
      </c>
      <c r="AS50">
        <v>84.862099999999998</v>
      </c>
      <c r="AT50">
        <v>102</v>
      </c>
      <c r="AU50">
        <v>37.448300000000003</v>
      </c>
      <c r="AX50">
        <v>48</v>
      </c>
      <c r="AY50">
        <v>67.416700000000006</v>
      </c>
      <c r="AZ50">
        <v>117</v>
      </c>
      <c r="BA50">
        <v>29.916699999999999</v>
      </c>
      <c r="BD50">
        <v>48</v>
      </c>
      <c r="BE50">
        <v>92.593800000000002</v>
      </c>
      <c r="BF50">
        <v>103</v>
      </c>
      <c r="BG50">
        <v>68.6875</v>
      </c>
      <c r="BJ50">
        <v>48</v>
      </c>
      <c r="BK50">
        <v>67.95</v>
      </c>
      <c r="BL50">
        <v>109</v>
      </c>
      <c r="BM50">
        <v>34.1</v>
      </c>
      <c r="BP50">
        <v>48</v>
      </c>
      <c r="BQ50">
        <v>97</v>
      </c>
      <c r="BR50">
        <v>106</v>
      </c>
      <c r="BS50">
        <v>35.034500000000001</v>
      </c>
      <c r="BV50">
        <v>48</v>
      </c>
      <c r="BW50">
        <v>96.242400000000004</v>
      </c>
      <c r="BX50">
        <v>115</v>
      </c>
      <c r="BY50">
        <v>37.242400000000004</v>
      </c>
      <c r="CB50">
        <v>48</v>
      </c>
      <c r="CC50">
        <v>71.302999999999997</v>
      </c>
      <c r="CD50">
        <v>123</v>
      </c>
      <c r="CE50">
        <v>31.666699999999999</v>
      </c>
      <c r="CH50">
        <v>48</v>
      </c>
      <c r="CI50">
        <v>61.166699999999999</v>
      </c>
      <c r="CJ50">
        <v>125</v>
      </c>
      <c r="CK50">
        <v>41.416699999999999</v>
      </c>
      <c r="CN50">
        <v>48</v>
      </c>
      <c r="CO50">
        <v>82.641000000000005</v>
      </c>
      <c r="CP50">
        <v>116</v>
      </c>
      <c r="CQ50">
        <v>36.435899999999997</v>
      </c>
      <c r="CT50">
        <v>48</v>
      </c>
      <c r="CU50">
        <v>64.914299999999997</v>
      </c>
      <c r="CV50">
        <v>118</v>
      </c>
      <c r="CW50">
        <v>34.485700000000001</v>
      </c>
      <c r="CZ50">
        <v>48</v>
      </c>
      <c r="DA50">
        <v>67.146299999999997</v>
      </c>
      <c r="DB50">
        <v>139</v>
      </c>
      <c r="DC50">
        <v>62.4878</v>
      </c>
      <c r="DF50">
        <v>48</v>
      </c>
      <c r="DG50">
        <v>84.8</v>
      </c>
      <c r="DH50">
        <v>125</v>
      </c>
      <c r="DI50">
        <v>43.511099999999999</v>
      </c>
    </row>
    <row r="51" spans="2:113" x14ac:dyDescent="0.3">
      <c r="B51">
        <v>49</v>
      </c>
      <c r="C51">
        <v>82.631600000000006</v>
      </c>
      <c r="D51">
        <v>129</v>
      </c>
      <c r="E51">
        <v>49.368400000000001</v>
      </c>
      <c r="H51">
        <v>49</v>
      </c>
      <c r="I51">
        <v>85.7333</v>
      </c>
      <c r="J51">
        <v>106</v>
      </c>
      <c r="K51">
        <v>30.1</v>
      </c>
      <c r="N51">
        <v>49</v>
      </c>
      <c r="O51">
        <v>77.764700000000005</v>
      </c>
      <c r="P51">
        <v>121</v>
      </c>
      <c r="Q51">
        <v>43.382399999999997</v>
      </c>
      <c r="T51">
        <v>49</v>
      </c>
      <c r="U51">
        <v>89.041700000000006</v>
      </c>
      <c r="V51">
        <v>111</v>
      </c>
      <c r="W51">
        <v>33.791699999999999</v>
      </c>
      <c r="Z51">
        <v>49</v>
      </c>
      <c r="AA51">
        <v>72.357100000000003</v>
      </c>
      <c r="AB51">
        <v>119</v>
      </c>
      <c r="AC51">
        <v>44.785699999999999</v>
      </c>
      <c r="AF51">
        <v>49</v>
      </c>
      <c r="AG51">
        <v>74.857100000000003</v>
      </c>
      <c r="AH51">
        <v>116</v>
      </c>
      <c r="AI51">
        <v>34.928600000000003</v>
      </c>
      <c r="AL51">
        <v>49</v>
      </c>
      <c r="AM51">
        <v>53.4</v>
      </c>
      <c r="AN51">
        <v>121</v>
      </c>
      <c r="AO51">
        <v>44.5</v>
      </c>
      <c r="AR51">
        <v>49</v>
      </c>
      <c r="AS51">
        <v>85.724100000000007</v>
      </c>
      <c r="AT51">
        <v>103</v>
      </c>
      <c r="AU51">
        <v>36.930999999999997</v>
      </c>
      <c r="AX51">
        <v>49</v>
      </c>
      <c r="AY51">
        <v>68.041700000000006</v>
      </c>
      <c r="AZ51">
        <v>118</v>
      </c>
      <c r="BA51">
        <v>30.041699999999999</v>
      </c>
      <c r="BD51">
        <v>49</v>
      </c>
      <c r="BE51">
        <v>93.5625</v>
      </c>
      <c r="BF51">
        <v>104</v>
      </c>
      <c r="BG51">
        <v>65.3125</v>
      </c>
      <c r="BJ51">
        <v>49</v>
      </c>
      <c r="BK51">
        <v>69.650000000000006</v>
      </c>
      <c r="BL51">
        <v>110</v>
      </c>
      <c r="BM51">
        <v>34.35</v>
      </c>
      <c r="BP51">
        <v>49</v>
      </c>
      <c r="BQ51">
        <v>97.724100000000007</v>
      </c>
      <c r="BR51">
        <v>107</v>
      </c>
      <c r="BS51">
        <v>34.930999999999997</v>
      </c>
      <c r="BV51">
        <v>49</v>
      </c>
      <c r="BW51">
        <v>96.333299999999994</v>
      </c>
      <c r="BX51">
        <v>116</v>
      </c>
      <c r="BY51">
        <v>37.151499999999999</v>
      </c>
      <c r="CB51">
        <v>49</v>
      </c>
      <c r="CC51">
        <v>71.878799999999998</v>
      </c>
      <c r="CD51">
        <v>124</v>
      </c>
      <c r="CE51">
        <v>31.2121</v>
      </c>
      <c r="CH51">
        <v>49</v>
      </c>
      <c r="CI51">
        <v>63.083300000000001</v>
      </c>
      <c r="CJ51">
        <v>126</v>
      </c>
      <c r="CK51">
        <v>40.8889</v>
      </c>
      <c r="CN51">
        <v>49</v>
      </c>
      <c r="CO51">
        <v>83.692300000000003</v>
      </c>
      <c r="CP51">
        <v>117</v>
      </c>
      <c r="CQ51">
        <v>36.333300000000001</v>
      </c>
      <c r="CT51">
        <v>49</v>
      </c>
      <c r="CU51">
        <v>66.142899999999997</v>
      </c>
      <c r="CV51">
        <v>119</v>
      </c>
      <c r="CW51">
        <v>33.485700000000001</v>
      </c>
      <c r="CZ51">
        <v>49</v>
      </c>
      <c r="DA51">
        <v>67.9512</v>
      </c>
      <c r="DB51">
        <v>140</v>
      </c>
      <c r="DC51">
        <v>62.5122</v>
      </c>
      <c r="DF51">
        <v>49</v>
      </c>
      <c r="DG51">
        <v>85.844399999999993</v>
      </c>
      <c r="DH51">
        <v>126</v>
      </c>
      <c r="DI51">
        <v>41.911099999999998</v>
      </c>
    </row>
    <row r="52" spans="2:113" x14ac:dyDescent="0.3">
      <c r="B52">
        <v>50</v>
      </c>
      <c r="C52">
        <v>84.657899999999998</v>
      </c>
      <c r="D52">
        <v>130</v>
      </c>
      <c r="E52">
        <v>49.763199999999998</v>
      </c>
      <c r="H52">
        <v>50</v>
      </c>
      <c r="I52">
        <v>88.533299999999997</v>
      </c>
      <c r="J52">
        <v>107</v>
      </c>
      <c r="K52">
        <v>29.533300000000001</v>
      </c>
      <c r="N52">
        <v>50</v>
      </c>
      <c r="O52">
        <v>82.323499999999996</v>
      </c>
      <c r="P52">
        <v>122</v>
      </c>
      <c r="Q52">
        <v>41.5</v>
      </c>
      <c r="T52">
        <v>50</v>
      </c>
      <c r="U52">
        <v>91.708299999999994</v>
      </c>
      <c r="V52">
        <v>112</v>
      </c>
      <c r="W52">
        <v>32.208300000000001</v>
      </c>
      <c r="Z52">
        <v>50</v>
      </c>
      <c r="AA52">
        <v>74.25</v>
      </c>
      <c r="AB52">
        <v>120</v>
      </c>
      <c r="AC52">
        <v>42.678600000000003</v>
      </c>
      <c r="AF52">
        <v>50</v>
      </c>
      <c r="AG52">
        <v>77.285700000000006</v>
      </c>
      <c r="AH52">
        <v>117</v>
      </c>
      <c r="AI52">
        <v>34.607100000000003</v>
      </c>
      <c r="AL52">
        <v>50</v>
      </c>
      <c r="AM52">
        <v>53.633299999999998</v>
      </c>
      <c r="AN52">
        <v>122</v>
      </c>
      <c r="AO52">
        <v>43.633299999999998</v>
      </c>
      <c r="AR52">
        <v>50</v>
      </c>
      <c r="AS52">
        <v>86.862099999999998</v>
      </c>
      <c r="AT52">
        <v>104</v>
      </c>
      <c r="AU52">
        <v>36.2759</v>
      </c>
      <c r="AX52">
        <v>50</v>
      </c>
      <c r="AY52">
        <v>68.708299999999994</v>
      </c>
      <c r="AZ52">
        <v>119</v>
      </c>
      <c r="BA52">
        <v>30.375</v>
      </c>
      <c r="BD52">
        <v>50</v>
      </c>
      <c r="BE52">
        <v>94.4375</v>
      </c>
      <c r="BF52">
        <v>105</v>
      </c>
      <c r="BG52">
        <v>53.4375</v>
      </c>
      <c r="BJ52">
        <v>50</v>
      </c>
      <c r="BK52">
        <v>70.349999999999994</v>
      </c>
      <c r="BL52">
        <v>111</v>
      </c>
      <c r="BM52">
        <v>34.15</v>
      </c>
      <c r="BP52">
        <v>50</v>
      </c>
      <c r="BQ52">
        <v>97.448300000000003</v>
      </c>
      <c r="BR52">
        <v>108</v>
      </c>
      <c r="BS52">
        <v>34.172400000000003</v>
      </c>
      <c r="BV52">
        <v>50</v>
      </c>
      <c r="BW52">
        <v>96.939400000000006</v>
      </c>
      <c r="BX52">
        <v>117</v>
      </c>
      <c r="BY52">
        <v>37</v>
      </c>
      <c r="CB52">
        <v>50</v>
      </c>
      <c r="CC52">
        <v>73.848500000000001</v>
      </c>
      <c r="CD52">
        <v>125</v>
      </c>
      <c r="CE52">
        <v>30.545500000000001</v>
      </c>
      <c r="CH52">
        <v>50</v>
      </c>
      <c r="CI52">
        <v>64.861099999999993</v>
      </c>
      <c r="CJ52">
        <v>127</v>
      </c>
      <c r="CK52">
        <v>40.444400000000002</v>
      </c>
      <c r="CN52">
        <v>50</v>
      </c>
      <c r="CO52">
        <v>84.512799999999999</v>
      </c>
      <c r="CP52">
        <v>118</v>
      </c>
      <c r="CQ52">
        <v>35.769199999999998</v>
      </c>
      <c r="CT52">
        <v>50</v>
      </c>
      <c r="CU52">
        <v>67.8857</v>
      </c>
      <c r="CV52">
        <v>120</v>
      </c>
      <c r="CW52">
        <v>32.914299999999997</v>
      </c>
      <c r="CZ52">
        <v>50</v>
      </c>
      <c r="DA52">
        <v>68.731700000000004</v>
      </c>
      <c r="DB52">
        <v>141</v>
      </c>
      <c r="DC52">
        <v>62.634099999999997</v>
      </c>
      <c r="DF52">
        <v>50</v>
      </c>
      <c r="DG52">
        <v>87.244399999999999</v>
      </c>
      <c r="DH52">
        <v>127</v>
      </c>
      <c r="DI52">
        <v>40.822200000000002</v>
      </c>
    </row>
    <row r="53" spans="2:113" x14ac:dyDescent="0.3">
      <c r="B53">
        <v>51</v>
      </c>
      <c r="C53">
        <v>86.236800000000002</v>
      </c>
      <c r="D53">
        <v>131</v>
      </c>
      <c r="E53">
        <v>49.736800000000002</v>
      </c>
      <c r="H53">
        <v>51</v>
      </c>
      <c r="I53">
        <v>89.7333</v>
      </c>
      <c r="J53">
        <v>108</v>
      </c>
      <c r="K53">
        <v>29.2333</v>
      </c>
      <c r="N53">
        <v>51</v>
      </c>
      <c r="O53">
        <v>85.7941</v>
      </c>
      <c r="P53">
        <v>123</v>
      </c>
      <c r="Q53">
        <v>40.676499999999997</v>
      </c>
      <c r="T53">
        <v>51</v>
      </c>
      <c r="U53">
        <v>94.25</v>
      </c>
      <c r="V53">
        <v>113</v>
      </c>
      <c r="W53">
        <v>32.458300000000001</v>
      </c>
      <c r="Z53">
        <v>51</v>
      </c>
      <c r="AA53">
        <v>75.642899999999997</v>
      </c>
      <c r="AB53">
        <v>121</v>
      </c>
      <c r="AC53">
        <v>40.285699999999999</v>
      </c>
      <c r="AF53">
        <v>51</v>
      </c>
      <c r="AG53">
        <v>79.607100000000003</v>
      </c>
      <c r="AH53">
        <v>118</v>
      </c>
      <c r="AI53">
        <v>33.928600000000003</v>
      </c>
      <c r="AL53">
        <v>51</v>
      </c>
      <c r="AM53">
        <v>54.533299999999997</v>
      </c>
      <c r="AN53">
        <v>123</v>
      </c>
      <c r="AO53">
        <v>43.166699999999999</v>
      </c>
      <c r="AR53">
        <v>51</v>
      </c>
      <c r="AS53">
        <v>87.655199999999994</v>
      </c>
      <c r="AT53">
        <v>105</v>
      </c>
      <c r="AU53">
        <v>35.758600000000001</v>
      </c>
      <c r="AX53">
        <v>51</v>
      </c>
      <c r="AY53">
        <v>70.625</v>
      </c>
      <c r="AZ53">
        <v>120</v>
      </c>
      <c r="BA53">
        <v>30.75</v>
      </c>
      <c r="BD53">
        <v>51</v>
      </c>
      <c r="BE53">
        <v>94.8125</v>
      </c>
      <c r="BF53">
        <v>106</v>
      </c>
      <c r="BG53">
        <v>39.218800000000002</v>
      </c>
      <c r="BJ53">
        <v>51</v>
      </c>
      <c r="BK53">
        <v>70.55</v>
      </c>
      <c r="BL53">
        <v>112</v>
      </c>
      <c r="BM53">
        <v>33.700000000000003</v>
      </c>
      <c r="BP53">
        <v>51</v>
      </c>
      <c r="BQ53">
        <v>97.758600000000001</v>
      </c>
      <c r="BR53">
        <v>109</v>
      </c>
      <c r="BS53">
        <v>32.965499999999999</v>
      </c>
      <c r="BV53">
        <v>51</v>
      </c>
      <c r="BW53">
        <v>98.515199999999993</v>
      </c>
      <c r="BX53">
        <v>118</v>
      </c>
      <c r="BY53">
        <v>37.4848</v>
      </c>
      <c r="CB53">
        <v>51</v>
      </c>
      <c r="CC53">
        <v>75.848500000000001</v>
      </c>
      <c r="CD53">
        <v>126</v>
      </c>
      <c r="CE53">
        <v>29.575800000000001</v>
      </c>
      <c r="CH53">
        <v>51</v>
      </c>
      <c r="CI53">
        <v>66.916700000000006</v>
      </c>
      <c r="CJ53">
        <v>128</v>
      </c>
      <c r="CK53">
        <v>40.583300000000001</v>
      </c>
      <c r="CN53">
        <v>51</v>
      </c>
      <c r="CO53">
        <v>85.743600000000001</v>
      </c>
      <c r="CP53">
        <v>119</v>
      </c>
      <c r="CQ53">
        <v>35.230800000000002</v>
      </c>
      <c r="CT53">
        <v>51</v>
      </c>
      <c r="CU53">
        <v>69.2</v>
      </c>
      <c r="CV53">
        <v>121</v>
      </c>
      <c r="CW53">
        <v>32.1143</v>
      </c>
      <c r="CZ53">
        <v>51</v>
      </c>
      <c r="DA53">
        <v>68.487799999999993</v>
      </c>
      <c r="DB53">
        <v>142</v>
      </c>
      <c r="DC53">
        <v>62.878</v>
      </c>
      <c r="DF53">
        <v>51</v>
      </c>
      <c r="DG53">
        <v>88.622200000000007</v>
      </c>
      <c r="DH53">
        <v>128</v>
      </c>
      <c r="DI53">
        <v>39.866700000000002</v>
      </c>
    </row>
    <row r="54" spans="2:113" x14ac:dyDescent="0.3">
      <c r="B54">
        <v>52</v>
      </c>
      <c r="C54">
        <v>87.289500000000004</v>
      </c>
      <c r="D54">
        <v>132</v>
      </c>
      <c r="E54">
        <v>49.526299999999999</v>
      </c>
      <c r="H54">
        <v>52</v>
      </c>
      <c r="I54">
        <v>92.2333</v>
      </c>
      <c r="J54">
        <v>109</v>
      </c>
      <c r="K54">
        <v>29.2</v>
      </c>
      <c r="N54">
        <v>52</v>
      </c>
      <c r="O54">
        <v>88.088200000000001</v>
      </c>
      <c r="P54">
        <v>124</v>
      </c>
      <c r="Q54">
        <v>40.5</v>
      </c>
      <c r="T54">
        <v>52</v>
      </c>
      <c r="U54">
        <v>95.541700000000006</v>
      </c>
      <c r="V54">
        <v>114</v>
      </c>
      <c r="W54">
        <v>33.083300000000001</v>
      </c>
      <c r="Z54">
        <v>52</v>
      </c>
      <c r="AA54">
        <v>77.035700000000006</v>
      </c>
      <c r="AB54">
        <v>122</v>
      </c>
      <c r="AC54">
        <v>38.464300000000001</v>
      </c>
      <c r="AF54">
        <v>52</v>
      </c>
      <c r="AG54">
        <v>81.321399999999997</v>
      </c>
      <c r="AH54">
        <v>119</v>
      </c>
      <c r="AI54">
        <v>33.5</v>
      </c>
      <c r="AL54">
        <v>52</v>
      </c>
      <c r="AM54">
        <v>55.933300000000003</v>
      </c>
      <c r="AN54">
        <v>124</v>
      </c>
      <c r="AO54">
        <v>42.7667</v>
      </c>
      <c r="AR54">
        <v>52</v>
      </c>
      <c r="AS54">
        <v>88.482799999999997</v>
      </c>
      <c r="AT54">
        <v>106</v>
      </c>
      <c r="AU54">
        <v>35.034500000000001</v>
      </c>
      <c r="AX54">
        <v>52</v>
      </c>
      <c r="AY54">
        <v>72.458299999999994</v>
      </c>
      <c r="AZ54">
        <v>121</v>
      </c>
      <c r="BA54">
        <v>30.625</v>
      </c>
      <c r="BD54">
        <v>52</v>
      </c>
      <c r="BE54">
        <v>95.6875</v>
      </c>
      <c r="BF54">
        <v>107</v>
      </c>
      <c r="BG54">
        <v>28.6875</v>
      </c>
      <c r="BJ54">
        <v>52</v>
      </c>
      <c r="BK54">
        <v>71.05</v>
      </c>
      <c r="BL54">
        <v>113</v>
      </c>
      <c r="BM54">
        <v>32.85</v>
      </c>
      <c r="BP54">
        <v>52</v>
      </c>
      <c r="BQ54">
        <v>98.344800000000006</v>
      </c>
      <c r="BR54">
        <v>110</v>
      </c>
      <c r="BS54">
        <v>32.241399999999999</v>
      </c>
      <c r="BV54">
        <v>52</v>
      </c>
      <c r="BW54">
        <v>100.36360000000001</v>
      </c>
      <c r="BX54">
        <v>119</v>
      </c>
      <c r="BY54">
        <v>37.393900000000002</v>
      </c>
      <c r="CB54">
        <v>52</v>
      </c>
      <c r="CC54">
        <v>77.060599999999994</v>
      </c>
      <c r="CD54">
        <v>127</v>
      </c>
      <c r="CE54">
        <v>28.7879</v>
      </c>
      <c r="CH54">
        <v>52</v>
      </c>
      <c r="CI54">
        <v>68.694400000000002</v>
      </c>
      <c r="CJ54">
        <v>129</v>
      </c>
      <c r="CK54">
        <v>40.527799999999999</v>
      </c>
      <c r="CN54">
        <v>52</v>
      </c>
      <c r="CO54">
        <v>87.102599999999995</v>
      </c>
      <c r="CP54">
        <v>120</v>
      </c>
      <c r="CQ54">
        <v>35.1282</v>
      </c>
      <c r="CT54">
        <v>52</v>
      </c>
      <c r="CU54">
        <v>70.428600000000003</v>
      </c>
      <c r="CV54">
        <v>122</v>
      </c>
      <c r="CW54">
        <v>31.571400000000001</v>
      </c>
      <c r="CZ54">
        <v>52</v>
      </c>
      <c r="DA54">
        <v>68.414599999999993</v>
      </c>
      <c r="DB54">
        <v>143</v>
      </c>
      <c r="DC54">
        <v>63.3902</v>
      </c>
      <c r="DF54">
        <v>52</v>
      </c>
      <c r="DG54">
        <v>90.488900000000001</v>
      </c>
      <c r="DH54">
        <v>129</v>
      </c>
      <c r="DI54">
        <v>38.777799999999999</v>
      </c>
    </row>
    <row r="55" spans="2:113" x14ac:dyDescent="0.3">
      <c r="B55">
        <v>53</v>
      </c>
      <c r="C55">
        <v>88.789500000000004</v>
      </c>
      <c r="D55">
        <v>133</v>
      </c>
      <c r="E55">
        <v>48.473700000000001</v>
      </c>
      <c r="H55">
        <v>53</v>
      </c>
      <c r="I55">
        <v>96.166700000000006</v>
      </c>
      <c r="J55">
        <v>110</v>
      </c>
      <c r="K55">
        <v>29.2333</v>
      </c>
      <c r="N55">
        <v>53</v>
      </c>
      <c r="O55">
        <v>90.029399999999995</v>
      </c>
      <c r="P55">
        <v>125</v>
      </c>
      <c r="Q55">
        <v>40.264699999999998</v>
      </c>
      <c r="T55">
        <v>53</v>
      </c>
      <c r="U55">
        <v>96.583299999999994</v>
      </c>
      <c r="V55">
        <v>115</v>
      </c>
      <c r="W55">
        <v>33.166699999999999</v>
      </c>
      <c r="Z55">
        <v>53</v>
      </c>
      <c r="AA55">
        <v>78.535700000000006</v>
      </c>
      <c r="AB55">
        <v>123</v>
      </c>
      <c r="AC55">
        <v>37.5</v>
      </c>
      <c r="AF55">
        <v>53</v>
      </c>
      <c r="AG55">
        <v>83.285700000000006</v>
      </c>
      <c r="AH55">
        <v>120</v>
      </c>
      <c r="AI55">
        <v>33.428600000000003</v>
      </c>
      <c r="AL55">
        <v>53</v>
      </c>
      <c r="AM55">
        <v>57.366700000000002</v>
      </c>
      <c r="AN55">
        <v>125</v>
      </c>
      <c r="AO55">
        <v>42.7667</v>
      </c>
      <c r="AR55">
        <v>53</v>
      </c>
      <c r="AS55">
        <v>88.758600000000001</v>
      </c>
      <c r="AT55">
        <v>107</v>
      </c>
      <c r="AU55">
        <v>34.2759</v>
      </c>
      <c r="AX55">
        <v>53</v>
      </c>
      <c r="AY55">
        <v>74</v>
      </c>
      <c r="AZ55">
        <v>122</v>
      </c>
      <c r="BA55">
        <v>30.25</v>
      </c>
      <c r="BD55">
        <v>53</v>
      </c>
      <c r="BE55">
        <v>96.968800000000002</v>
      </c>
      <c r="BF55">
        <v>108</v>
      </c>
      <c r="BG55">
        <v>22.875</v>
      </c>
      <c r="BJ55">
        <v>53</v>
      </c>
      <c r="BK55">
        <v>72</v>
      </c>
      <c r="BL55">
        <v>114</v>
      </c>
      <c r="BM55">
        <v>32.15</v>
      </c>
      <c r="BP55">
        <v>53</v>
      </c>
      <c r="BQ55">
        <v>99.206900000000005</v>
      </c>
      <c r="BR55">
        <v>111</v>
      </c>
      <c r="BS55">
        <v>31.862100000000002</v>
      </c>
      <c r="BV55">
        <v>53</v>
      </c>
      <c r="BW55">
        <v>102.303</v>
      </c>
      <c r="BX55">
        <v>120</v>
      </c>
      <c r="BY55">
        <v>36.7273</v>
      </c>
      <c r="CB55">
        <v>53</v>
      </c>
      <c r="CC55">
        <v>77.666700000000006</v>
      </c>
      <c r="CD55">
        <v>128</v>
      </c>
      <c r="CE55">
        <v>28.393899999999999</v>
      </c>
      <c r="CH55">
        <v>53</v>
      </c>
      <c r="CI55">
        <v>70.166700000000006</v>
      </c>
      <c r="CJ55">
        <v>130</v>
      </c>
      <c r="CK55">
        <v>40.222200000000001</v>
      </c>
      <c r="CN55">
        <v>53</v>
      </c>
      <c r="CO55">
        <v>87.615399999999994</v>
      </c>
      <c r="CP55">
        <v>121</v>
      </c>
      <c r="CQ55">
        <v>35.025599999999997</v>
      </c>
      <c r="CT55">
        <v>53</v>
      </c>
      <c r="CU55">
        <v>71.828599999999994</v>
      </c>
      <c r="CV55">
        <v>123</v>
      </c>
      <c r="CW55">
        <v>31</v>
      </c>
      <c r="CZ55">
        <v>53</v>
      </c>
      <c r="DA55">
        <v>68.609800000000007</v>
      </c>
      <c r="DB55">
        <v>144</v>
      </c>
      <c r="DC55">
        <v>64.0732</v>
      </c>
      <c r="DF55">
        <v>53</v>
      </c>
      <c r="DG55">
        <v>92.177800000000005</v>
      </c>
      <c r="DH55">
        <v>130</v>
      </c>
      <c r="DI55">
        <v>37.777799999999999</v>
      </c>
    </row>
    <row r="56" spans="2:113" x14ac:dyDescent="0.3">
      <c r="B56">
        <v>54</v>
      </c>
      <c r="C56">
        <v>90.578900000000004</v>
      </c>
      <c r="D56">
        <v>134</v>
      </c>
      <c r="E56">
        <v>47.052599999999998</v>
      </c>
      <c r="H56">
        <v>54</v>
      </c>
      <c r="I56">
        <v>101.2333</v>
      </c>
      <c r="J56">
        <v>111</v>
      </c>
      <c r="K56">
        <v>29.1</v>
      </c>
      <c r="N56">
        <v>54</v>
      </c>
      <c r="O56">
        <v>92</v>
      </c>
      <c r="P56">
        <v>126</v>
      </c>
      <c r="Q56">
        <v>39.852899999999998</v>
      </c>
      <c r="T56">
        <v>54</v>
      </c>
      <c r="U56">
        <v>98.958299999999994</v>
      </c>
      <c r="V56">
        <v>116</v>
      </c>
      <c r="W56">
        <v>33.416699999999999</v>
      </c>
      <c r="Z56">
        <v>54</v>
      </c>
      <c r="AA56">
        <v>80.142899999999997</v>
      </c>
      <c r="AB56">
        <v>124</v>
      </c>
      <c r="AC56">
        <v>36.428600000000003</v>
      </c>
      <c r="AF56">
        <v>54</v>
      </c>
      <c r="AG56">
        <v>84.607100000000003</v>
      </c>
      <c r="AH56">
        <v>121</v>
      </c>
      <c r="AI56">
        <v>33.678600000000003</v>
      </c>
      <c r="AL56">
        <v>54</v>
      </c>
      <c r="AM56">
        <v>58.966700000000003</v>
      </c>
      <c r="AN56">
        <v>126</v>
      </c>
      <c r="AO56">
        <v>42.5</v>
      </c>
      <c r="AX56">
        <v>54</v>
      </c>
      <c r="AY56">
        <v>75.541700000000006</v>
      </c>
      <c r="AZ56">
        <v>123</v>
      </c>
      <c r="BA56">
        <v>29.291699999999999</v>
      </c>
      <c r="BD56">
        <v>54</v>
      </c>
      <c r="BE56">
        <v>97.5625</v>
      </c>
      <c r="BF56">
        <v>109</v>
      </c>
      <c r="BG56">
        <v>21.8125</v>
      </c>
      <c r="BJ56">
        <v>54</v>
      </c>
      <c r="BK56">
        <v>71.95</v>
      </c>
      <c r="BL56">
        <v>115</v>
      </c>
      <c r="BM56">
        <v>31.8</v>
      </c>
      <c r="BP56">
        <v>54</v>
      </c>
      <c r="BQ56">
        <v>99.034499999999994</v>
      </c>
      <c r="BR56">
        <v>112</v>
      </c>
      <c r="BS56">
        <v>31.689699999999998</v>
      </c>
      <c r="BV56">
        <v>54</v>
      </c>
      <c r="BW56">
        <v>104.0303</v>
      </c>
      <c r="BX56">
        <v>121</v>
      </c>
      <c r="BY56">
        <v>35.424199999999999</v>
      </c>
      <c r="CB56">
        <v>54</v>
      </c>
      <c r="CC56">
        <v>78.848500000000001</v>
      </c>
      <c r="CD56">
        <v>129</v>
      </c>
      <c r="CE56">
        <v>28.454499999999999</v>
      </c>
      <c r="CH56">
        <v>54</v>
      </c>
      <c r="CI56">
        <v>71.444400000000002</v>
      </c>
      <c r="CJ56">
        <v>131</v>
      </c>
      <c r="CK56">
        <v>40.027799999999999</v>
      </c>
      <c r="CN56">
        <v>54</v>
      </c>
      <c r="CO56">
        <v>87.769199999999998</v>
      </c>
      <c r="CP56">
        <v>122</v>
      </c>
      <c r="CQ56">
        <v>34.1282</v>
      </c>
      <c r="CT56">
        <v>54</v>
      </c>
      <c r="CU56">
        <v>73.542900000000003</v>
      </c>
      <c r="CV56">
        <v>124</v>
      </c>
      <c r="CW56">
        <v>30.457100000000001</v>
      </c>
      <c r="CZ56">
        <v>54</v>
      </c>
      <c r="DA56">
        <v>69.0488</v>
      </c>
      <c r="DB56">
        <v>145</v>
      </c>
      <c r="DC56">
        <v>63.878</v>
      </c>
      <c r="DF56">
        <v>54</v>
      </c>
      <c r="DG56">
        <v>92.933300000000003</v>
      </c>
      <c r="DH56">
        <v>131</v>
      </c>
      <c r="DI56">
        <v>37</v>
      </c>
    </row>
    <row r="57" spans="2:113" x14ac:dyDescent="0.3">
      <c r="B57">
        <v>55</v>
      </c>
      <c r="C57">
        <v>91.842100000000002</v>
      </c>
      <c r="D57">
        <v>135</v>
      </c>
      <c r="E57">
        <v>45.8947</v>
      </c>
      <c r="H57">
        <v>55</v>
      </c>
      <c r="I57">
        <v>105.5667</v>
      </c>
      <c r="J57">
        <v>112</v>
      </c>
      <c r="K57">
        <v>28.7667</v>
      </c>
      <c r="N57">
        <v>55</v>
      </c>
      <c r="O57">
        <v>93.264700000000005</v>
      </c>
      <c r="P57">
        <v>127</v>
      </c>
      <c r="Q57">
        <v>38.735300000000002</v>
      </c>
      <c r="T57">
        <v>55</v>
      </c>
      <c r="U57">
        <v>102.375</v>
      </c>
      <c r="V57">
        <v>117</v>
      </c>
      <c r="W57">
        <v>34</v>
      </c>
      <c r="Z57">
        <v>55</v>
      </c>
      <c r="AA57">
        <v>82.214299999999994</v>
      </c>
      <c r="AB57">
        <v>125</v>
      </c>
      <c r="AC57">
        <v>35.071399999999997</v>
      </c>
      <c r="AF57">
        <v>55</v>
      </c>
      <c r="AG57">
        <v>85.714299999999994</v>
      </c>
      <c r="AH57">
        <v>122</v>
      </c>
      <c r="AI57">
        <v>33.464300000000001</v>
      </c>
      <c r="AL57">
        <v>55</v>
      </c>
      <c r="AM57">
        <v>59.7667</v>
      </c>
      <c r="AN57">
        <v>127</v>
      </c>
      <c r="AO57">
        <v>41.7</v>
      </c>
      <c r="AX57">
        <v>55</v>
      </c>
      <c r="AY57">
        <v>76.416700000000006</v>
      </c>
      <c r="AZ57">
        <v>124</v>
      </c>
      <c r="BA57">
        <v>28.5</v>
      </c>
      <c r="BJ57">
        <v>55</v>
      </c>
      <c r="BK57">
        <v>71.849999999999994</v>
      </c>
      <c r="BL57">
        <v>116</v>
      </c>
      <c r="BM57">
        <v>31.55</v>
      </c>
      <c r="BP57">
        <v>55</v>
      </c>
      <c r="BQ57">
        <v>99</v>
      </c>
      <c r="BR57">
        <v>113</v>
      </c>
      <c r="BS57">
        <v>31.310300000000002</v>
      </c>
      <c r="BV57">
        <v>55</v>
      </c>
      <c r="BW57">
        <v>105.2424</v>
      </c>
      <c r="BX57">
        <v>122</v>
      </c>
      <c r="BY57">
        <v>34.393900000000002</v>
      </c>
      <c r="CB57">
        <v>55</v>
      </c>
      <c r="CC57">
        <v>80.363600000000005</v>
      </c>
      <c r="CD57">
        <v>130</v>
      </c>
      <c r="CE57">
        <v>28.606100000000001</v>
      </c>
      <c r="CH57">
        <v>55</v>
      </c>
      <c r="CI57">
        <v>72.75</v>
      </c>
      <c r="CJ57">
        <v>132</v>
      </c>
      <c r="CK57">
        <v>39.944400000000002</v>
      </c>
      <c r="CN57">
        <v>55</v>
      </c>
      <c r="CO57">
        <v>87.794899999999998</v>
      </c>
      <c r="CP57">
        <v>123</v>
      </c>
      <c r="CQ57">
        <v>33.179499999999997</v>
      </c>
      <c r="CT57">
        <v>55</v>
      </c>
      <c r="CU57">
        <v>75.742900000000006</v>
      </c>
      <c r="CV57">
        <v>125</v>
      </c>
      <c r="CW57">
        <v>30.485700000000001</v>
      </c>
      <c r="CZ57">
        <v>55</v>
      </c>
      <c r="DA57">
        <v>69.219499999999996</v>
      </c>
      <c r="DB57">
        <v>146</v>
      </c>
      <c r="DC57">
        <v>63.4634</v>
      </c>
      <c r="DF57">
        <v>55</v>
      </c>
      <c r="DG57">
        <v>93.2667</v>
      </c>
      <c r="DH57">
        <v>132</v>
      </c>
      <c r="DI57">
        <v>36.355600000000003</v>
      </c>
    </row>
    <row r="58" spans="2:113" x14ac:dyDescent="0.3">
      <c r="B58">
        <v>56</v>
      </c>
      <c r="C58">
        <v>92.921099999999996</v>
      </c>
      <c r="D58">
        <v>136</v>
      </c>
      <c r="E58">
        <v>45.315800000000003</v>
      </c>
      <c r="H58">
        <v>56</v>
      </c>
      <c r="I58">
        <v>107.13330000000001</v>
      </c>
      <c r="J58">
        <v>113</v>
      </c>
      <c r="K58">
        <v>28.366700000000002</v>
      </c>
      <c r="N58">
        <v>56</v>
      </c>
      <c r="O58">
        <v>94</v>
      </c>
      <c r="P58">
        <v>128</v>
      </c>
      <c r="Q58">
        <v>37.411799999999999</v>
      </c>
      <c r="T58">
        <v>56</v>
      </c>
      <c r="U58">
        <v>105.33329999999999</v>
      </c>
      <c r="V58">
        <v>118</v>
      </c>
      <c r="W58">
        <v>35.166699999999999</v>
      </c>
      <c r="Z58">
        <v>56</v>
      </c>
      <c r="AA58">
        <v>84.357100000000003</v>
      </c>
      <c r="AB58">
        <v>126</v>
      </c>
      <c r="AC58">
        <v>34.142899999999997</v>
      </c>
      <c r="AF58">
        <v>56</v>
      </c>
      <c r="AG58">
        <v>86.964299999999994</v>
      </c>
      <c r="AH58">
        <v>123</v>
      </c>
      <c r="AI58">
        <v>32.75</v>
      </c>
      <c r="AL58">
        <v>56</v>
      </c>
      <c r="AM58">
        <v>60.666699999999999</v>
      </c>
      <c r="AN58">
        <v>128</v>
      </c>
      <c r="AO58">
        <v>40.799999999999997</v>
      </c>
      <c r="AX58">
        <v>56</v>
      </c>
      <c r="AY58">
        <v>76.791700000000006</v>
      </c>
      <c r="AZ58">
        <v>125</v>
      </c>
      <c r="BA58">
        <v>27.75</v>
      </c>
      <c r="BJ58">
        <v>56</v>
      </c>
      <c r="BK58">
        <v>72</v>
      </c>
      <c r="BL58">
        <v>117</v>
      </c>
      <c r="BM58">
        <v>31.05</v>
      </c>
      <c r="BP58">
        <v>56</v>
      </c>
      <c r="BQ58">
        <v>99.517200000000003</v>
      </c>
      <c r="BR58">
        <v>114</v>
      </c>
      <c r="BS58">
        <v>30.7241</v>
      </c>
      <c r="BV58">
        <v>56</v>
      </c>
      <c r="BW58">
        <v>106.2424</v>
      </c>
      <c r="BX58">
        <v>123</v>
      </c>
      <c r="BY58">
        <v>33.151499999999999</v>
      </c>
      <c r="CB58">
        <v>56</v>
      </c>
      <c r="CC58">
        <v>81.939400000000006</v>
      </c>
      <c r="CD58">
        <v>131</v>
      </c>
      <c r="CE58">
        <v>28.606100000000001</v>
      </c>
      <c r="CH58">
        <v>56</v>
      </c>
      <c r="CI58">
        <v>74.972200000000001</v>
      </c>
      <c r="CJ58">
        <v>133</v>
      </c>
      <c r="CK58">
        <v>39.805599999999998</v>
      </c>
      <c r="CN58">
        <v>56</v>
      </c>
      <c r="CO58">
        <v>87.974400000000003</v>
      </c>
      <c r="CP58">
        <v>124</v>
      </c>
      <c r="CQ58">
        <v>32.410299999999999</v>
      </c>
      <c r="CT58">
        <v>56</v>
      </c>
      <c r="CU58">
        <v>77.2</v>
      </c>
      <c r="CV58">
        <v>126</v>
      </c>
      <c r="CW58">
        <v>30.142900000000001</v>
      </c>
      <c r="CZ58">
        <v>56</v>
      </c>
      <c r="DA58">
        <v>68.804900000000004</v>
      </c>
      <c r="DB58">
        <v>147</v>
      </c>
      <c r="DC58">
        <v>63.317100000000003</v>
      </c>
      <c r="DF58">
        <v>56</v>
      </c>
      <c r="DG58">
        <v>94.2</v>
      </c>
      <c r="DH58">
        <v>133</v>
      </c>
      <c r="DI58">
        <v>35.8889</v>
      </c>
    </row>
    <row r="59" spans="2:113" x14ac:dyDescent="0.3">
      <c r="B59">
        <v>57</v>
      </c>
      <c r="C59">
        <v>93.578900000000004</v>
      </c>
      <c r="D59">
        <v>137</v>
      </c>
      <c r="E59">
        <v>44.631599999999999</v>
      </c>
      <c r="N59">
        <v>57</v>
      </c>
      <c r="O59">
        <v>93.941199999999995</v>
      </c>
      <c r="P59">
        <v>129</v>
      </c>
      <c r="Q59">
        <v>35.7941</v>
      </c>
      <c r="T59">
        <v>57</v>
      </c>
      <c r="U59">
        <v>107.125</v>
      </c>
      <c r="V59">
        <v>119</v>
      </c>
      <c r="W59">
        <v>35.916699999999999</v>
      </c>
      <c r="Z59">
        <v>57</v>
      </c>
      <c r="AA59">
        <v>86.964299999999994</v>
      </c>
      <c r="AB59">
        <v>127</v>
      </c>
      <c r="AC59">
        <v>33.964300000000001</v>
      </c>
      <c r="AF59">
        <v>57</v>
      </c>
      <c r="AG59">
        <v>89.321399999999997</v>
      </c>
      <c r="AH59">
        <v>124</v>
      </c>
      <c r="AI59">
        <v>31.678599999999999</v>
      </c>
      <c r="AL59">
        <v>57</v>
      </c>
      <c r="AM59">
        <v>62.4</v>
      </c>
      <c r="AN59">
        <v>129</v>
      </c>
      <c r="AO59">
        <v>40.200000000000003</v>
      </c>
      <c r="AX59">
        <v>57</v>
      </c>
      <c r="AY59">
        <v>76.75</v>
      </c>
      <c r="AZ59">
        <v>126</v>
      </c>
      <c r="BA59">
        <v>27.833300000000001</v>
      </c>
      <c r="BJ59">
        <v>57</v>
      </c>
      <c r="BK59">
        <v>72.400000000000006</v>
      </c>
      <c r="BL59">
        <v>118</v>
      </c>
      <c r="BM59">
        <v>30.85</v>
      </c>
      <c r="BP59">
        <v>57</v>
      </c>
      <c r="BQ59">
        <v>99.827600000000004</v>
      </c>
      <c r="BR59">
        <v>115</v>
      </c>
      <c r="BS59">
        <v>29.965499999999999</v>
      </c>
      <c r="BV59">
        <v>57</v>
      </c>
      <c r="BW59">
        <v>106.9091</v>
      </c>
      <c r="BX59">
        <v>124</v>
      </c>
      <c r="BY59">
        <v>32.424199999999999</v>
      </c>
      <c r="CB59">
        <v>57</v>
      </c>
      <c r="CC59">
        <v>83.121200000000002</v>
      </c>
      <c r="CD59">
        <v>132</v>
      </c>
      <c r="CE59">
        <v>28.151499999999999</v>
      </c>
      <c r="CH59">
        <v>57</v>
      </c>
      <c r="CI59">
        <v>77.25</v>
      </c>
      <c r="CJ59">
        <v>134</v>
      </c>
      <c r="CK59">
        <v>39.472200000000001</v>
      </c>
      <c r="CN59">
        <v>57</v>
      </c>
      <c r="CO59">
        <v>88.641000000000005</v>
      </c>
      <c r="CP59">
        <v>125</v>
      </c>
      <c r="CQ59">
        <v>31.640999999999998</v>
      </c>
      <c r="CT59">
        <v>57</v>
      </c>
      <c r="CU59">
        <v>77.8857</v>
      </c>
      <c r="CV59">
        <v>127</v>
      </c>
      <c r="CW59">
        <v>29.742899999999999</v>
      </c>
      <c r="CZ59">
        <v>57</v>
      </c>
      <c r="DA59">
        <v>68.0488</v>
      </c>
      <c r="DB59">
        <v>148</v>
      </c>
      <c r="DC59">
        <v>63.243899999999996</v>
      </c>
      <c r="DF59">
        <v>57</v>
      </c>
      <c r="DG59">
        <v>95</v>
      </c>
      <c r="DH59">
        <v>134</v>
      </c>
      <c r="DI59">
        <v>34.644399999999997</v>
      </c>
    </row>
    <row r="60" spans="2:113" x14ac:dyDescent="0.3">
      <c r="B60">
        <v>58</v>
      </c>
      <c r="C60">
        <v>94.157899999999998</v>
      </c>
      <c r="D60">
        <v>138</v>
      </c>
      <c r="E60">
        <v>43.315800000000003</v>
      </c>
      <c r="N60">
        <v>58</v>
      </c>
      <c r="O60">
        <v>93.941199999999995</v>
      </c>
      <c r="P60">
        <v>130</v>
      </c>
      <c r="Q60">
        <v>34.764699999999998</v>
      </c>
      <c r="T60">
        <v>58</v>
      </c>
      <c r="U60">
        <v>107.95829999999999</v>
      </c>
      <c r="V60">
        <v>120</v>
      </c>
      <c r="W60">
        <v>35.25</v>
      </c>
      <c r="Z60">
        <v>58</v>
      </c>
      <c r="AA60">
        <v>88.857100000000003</v>
      </c>
      <c r="AB60">
        <v>128</v>
      </c>
      <c r="AC60">
        <v>33.785699999999999</v>
      </c>
      <c r="AF60">
        <v>58</v>
      </c>
      <c r="AG60">
        <v>91.928600000000003</v>
      </c>
      <c r="AH60">
        <v>125</v>
      </c>
      <c r="AI60">
        <v>30.857099999999999</v>
      </c>
      <c r="AL60">
        <v>58</v>
      </c>
      <c r="AM60">
        <v>64.866699999999994</v>
      </c>
      <c r="AN60">
        <v>130</v>
      </c>
      <c r="AO60">
        <v>39.7333</v>
      </c>
      <c r="AX60">
        <v>58</v>
      </c>
      <c r="AY60">
        <v>76.125</v>
      </c>
      <c r="AZ60">
        <v>127</v>
      </c>
      <c r="BA60">
        <v>28.125</v>
      </c>
      <c r="BJ60">
        <v>58</v>
      </c>
      <c r="BK60">
        <v>72.2</v>
      </c>
      <c r="BL60">
        <v>119</v>
      </c>
      <c r="BM60">
        <v>30.2</v>
      </c>
      <c r="BV60">
        <v>58</v>
      </c>
      <c r="BW60">
        <v>107.0909</v>
      </c>
      <c r="BX60">
        <v>125</v>
      </c>
      <c r="BY60">
        <v>32.090899999999998</v>
      </c>
      <c r="CB60">
        <v>58</v>
      </c>
      <c r="CC60">
        <v>84.545500000000004</v>
      </c>
      <c r="CD60">
        <v>133</v>
      </c>
      <c r="CE60">
        <v>28.151499999999999</v>
      </c>
      <c r="CH60">
        <v>58</v>
      </c>
      <c r="CI60">
        <v>79.111099999999993</v>
      </c>
      <c r="CJ60">
        <v>135</v>
      </c>
      <c r="CK60">
        <v>38.75</v>
      </c>
      <c r="CN60">
        <v>58</v>
      </c>
      <c r="CO60">
        <v>89.615399999999994</v>
      </c>
      <c r="CP60">
        <v>126</v>
      </c>
      <c r="CQ60">
        <v>30.538499999999999</v>
      </c>
      <c r="CT60">
        <v>58</v>
      </c>
      <c r="CU60">
        <v>78.2</v>
      </c>
      <c r="CV60">
        <v>128</v>
      </c>
      <c r="CW60">
        <v>29.285699999999999</v>
      </c>
      <c r="CZ60">
        <v>58</v>
      </c>
      <c r="DA60">
        <v>67.9024</v>
      </c>
      <c r="DB60">
        <v>149</v>
      </c>
      <c r="DC60">
        <v>62.804900000000004</v>
      </c>
      <c r="DF60">
        <v>58</v>
      </c>
      <c r="DG60">
        <v>95.244399999999999</v>
      </c>
      <c r="DH60">
        <v>135</v>
      </c>
      <c r="DI60">
        <v>34.022199999999998</v>
      </c>
    </row>
    <row r="61" spans="2:113" x14ac:dyDescent="0.3">
      <c r="B61">
        <v>59</v>
      </c>
      <c r="C61">
        <v>94.5</v>
      </c>
      <c r="D61">
        <v>139</v>
      </c>
      <c r="E61">
        <v>42.473700000000001</v>
      </c>
      <c r="N61">
        <v>59</v>
      </c>
      <c r="O61">
        <v>94.764700000000005</v>
      </c>
      <c r="P61">
        <v>131</v>
      </c>
      <c r="Q61">
        <v>34</v>
      </c>
      <c r="T61">
        <v>59</v>
      </c>
      <c r="U61">
        <v>108.08329999999999</v>
      </c>
      <c r="V61">
        <v>121</v>
      </c>
      <c r="W61">
        <v>33.75</v>
      </c>
      <c r="Z61">
        <v>59</v>
      </c>
      <c r="AA61">
        <v>90.25</v>
      </c>
      <c r="AB61">
        <v>129</v>
      </c>
      <c r="AC61">
        <v>32.785699999999999</v>
      </c>
      <c r="AF61">
        <v>59</v>
      </c>
      <c r="AG61">
        <v>95.392899999999997</v>
      </c>
      <c r="AH61">
        <v>126</v>
      </c>
      <c r="AI61">
        <v>30.714300000000001</v>
      </c>
      <c r="AL61">
        <v>59</v>
      </c>
      <c r="AM61">
        <v>66.900000000000006</v>
      </c>
      <c r="AN61">
        <v>131</v>
      </c>
      <c r="AO61">
        <v>39.333300000000001</v>
      </c>
      <c r="AX61">
        <v>59</v>
      </c>
      <c r="AY61">
        <v>75.041700000000006</v>
      </c>
      <c r="AZ61">
        <v>128</v>
      </c>
      <c r="BA61">
        <v>27.416699999999999</v>
      </c>
      <c r="BJ61">
        <v>59</v>
      </c>
      <c r="BK61">
        <v>71.599999999999994</v>
      </c>
      <c r="BL61">
        <v>120</v>
      </c>
      <c r="BM61">
        <v>30.15</v>
      </c>
      <c r="BV61">
        <v>59</v>
      </c>
      <c r="BW61">
        <v>107.21210000000001</v>
      </c>
      <c r="BX61">
        <v>126</v>
      </c>
      <c r="BY61">
        <v>32</v>
      </c>
      <c r="CB61">
        <v>59</v>
      </c>
      <c r="CC61">
        <v>86.424199999999999</v>
      </c>
      <c r="CD61">
        <v>134</v>
      </c>
      <c r="CE61">
        <v>28.424199999999999</v>
      </c>
      <c r="CH61">
        <v>59</v>
      </c>
      <c r="CI61">
        <v>80.805599999999998</v>
      </c>
      <c r="CJ61">
        <v>136</v>
      </c>
      <c r="CK61">
        <v>37.6389</v>
      </c>
      <c r="CN61">
        <v>59</v>
      </c>
      <c r="CO61">
        <v>90.564099999999996</v>
      </c>
      <c r="CP61">
        <v>127</v>
      </c>
      <c r="CQ61">
        <v>29.359000000000002</v>
      </c>
      <c r="CT61">
        <v>59</v>
      </c>
      <c r="CU61">
        <v>78.142899999999997</v>
      </c>
      <c r="CV61">
        <v>129</v>
      </c>
      <c r="CW61">
        <v>29.285699999999999</v>
      </c>
      <c r="CZ61">
        <v>59</v>
      </c>
      <c r="DA61">
        <v>69.365899999999996</v>
      </c>
      <c r="DB61">
        <v>150</v>
      </c>
      <c r="DC61">
        <v>62.658499999999997</v>
      </c>
      <c r="DF61">
        <v>59</v>
      </c>
      <c r="DG61">
        <v>95.4</v>
      </c>
      <c r="DH61">
        <v>136</v>
      </c>
      <c r="DI61">
        <v>34.177799999999998</v>
      </c>
    </row>
    <row r="62" spans="2:113" x14ac:dyDescent="0.3">
      <c r="B62">
        <v>60</v>
      </c>
      <c r="C62">
        <v>94.578900000000004</v>
      </c>
      <c r="D62">
        <v>140</v>
      </c>
      <c r="E62">
        <v>41.710500000000003</v>
      </c>
      <c r="N62">
        <v>60</v>
      </c>
      <c r="O62">
        <v>95.441199999999995</v>
      </c>
      <c r="P62">
        <v>132</v>
      </c>
      <c r="Q62">
        <v>32.764699999999998</v>
      </c>
      <c r="T62">
        <v>60</v>
      </c>
      <c r="U62">
        <v>106.91670000000001</v>
      </c>
      <c r="V62">
        <v>122</v>
      </c>
      <c r="W62">
        <v>32.375</v>
      </c>
      <c r="Z62">
        <v>60</v>
      </c>
      <c r="AA62">
        <v>91.107100000000003</v>
      </c>
      <c r="AB62">
        <v>130</v>
      </c>
      <c r="AC62">
        <v>30.928599999999999</v>
      </c>
      <c r="AF62">
        <v>60</v>
      </c>
      <c r="AG62">
        <v>98.428600000000003</v>
      </c>
      <c r="AH62">
        <v>127</v>
      </c>
      <c r="AI62">
        <v>30.607099999999999</v>
      </c>
      <c r="AL62">
        <v>60</v>
      </c>
      <c r="AM62">
        <v>68.7</v>
      </c>
      <c r="AN62">
        <v>132</v>
      </c>
      <c r="AO62">
        <v>38.833300000000001</v>
      </c>
      <c r="AX62">
        <v>60</v>
      </c>
      <c r="AY62">
        <v>73.416700000000006</v>
      </c>
      <c r="AZ62">
        <v>129</v>
      </c>
      <c r="BA62">
        <v>26</v>
      </c>
      <c r="BJ62">
        <v>60</v>
      </c>
      <c r="BK62">
        <v>71.150000000000006</v>
      </c>
      <c r="BL62">
        <v>121</v>
      </c>
      <c r="BM62">
        <v>29.9</v>
      </c>
      <c r="BV62">
        <v>60</v>
      </c>
      <c r="BW62">
        <v>107.66670000000001</v>
      </c>
      <c r="BX62">
        <v>127</v>
      </c>
      <c r="BY62">
        <v>31.090900000000001</v>
      </c>
      <c r="CB62">
        <v>60</v>
      </c>
      <c r="CC62">
        <v>87.636399999999995</v>
      </c>
      <c r="CD62">
        <v>135</v>
      </c>
      <c r="CE62">
        <v>28.060600000000001</v>
      </c>
      <c r="CH62">
        <v>60</v>
      </c>
      <c r="CI62">
        <v>82.388900000000007</v>
      </c>
      <c r="CJ62">
        <v>137</v>
      </c>
      <c r="CK62">
        <v>36.25</v>
      </c>
      <c r="CN62">
        <v>60</v>
      </c>
      <c r="CO62">
        <v>91.153800000000004</v>
      </c>
      <c r="CP62">
        <v>128</v>
      </c>
      <c r="CQ62">
        <v>28.205100000000002</v>
      </c>
      <c r="CT62">
        <v>60</v>
      </c>
      <c r="CU62">
        <v>78.571399999999997</v>
      </c>
      <c r="CV62">
        <v>130</v>
      </c>
      <c r="CW62">
        <v>29.085699999999999</v>
      </c>
      <c r="CZ62">
        <v>60</v>
      </c>
      <c r="DA62">
        <v>72.219499999999996</v>
      </c>
      <c r="DB62">
        <v>151</v>
      </c>
      <c r="DC62">
        <v>62.5122</v>
      </c>
      <c r="DF62">
        <v>60</v>
      </c>
      <c r="DG62">
        <v>95.355599999999995</v>
      </c>
      <c r="DH62">
        <v>137</v>
      </c>
      <c r="DI62">
        <v>34.022199999999998</v>
      </c>
    </row>
    <row r="63" spans="2:113" x14ac:dyDescent="0.3">
      <c r="B63">
        <v>61</v>
      </c>
      <c r="C63">
        <v>94.710499999999996</v>
      </c>
      <c r="D63">
        <v>141</v>
      </c>
      <c r="E63">
        <v>40.763199999999998</v>
      </c>
      <c r="N63">
        <v>61</v>
      </c>
      <c r="O63">
        <v>95.676500000000004</v>
      </c>
      <c r="P63">
        <v>133</v>
      </c>
      <c r="Q63">
        <v>31.852900000000002</v>
      </c>
      <c r="T63">
        <v>61</v>
      </c>
      <c r="U63">
        <v>105.54170000000001</v>
      </c>
      <c r="V63">
        <v>123</v>
      </c>
      <c r="W63">
        <v>32.041699999999999</v>
      </c>
      <c r="Z63">
        <v>61</v>
      </c>
      <c r="AA63">
        <v>91.892899999999997</v>
      </c>
      <c r="AB63">
        <v>131</v>
      </c>
      <c r="AC63">
        <v>28.571400000000001</v>
      </c>
      <c r="AF63">
        <v>61</v>
      </c>
      <c r="AG63">
        <v>100.8929</v>
      </c>
      <c r="AH63">
        <v>128</v>
      </c>
      <c r="AI63">
        <v>30.107099999999999</v>
      </c>
      <c r="AL63">
        <v>61</v>
      </c>
      <c r="AM63">
        <v>70.966700000000003</v>
      </c>
      <c r="AN63">
        <v>133</v>
      </c>
      <c r="AO63">
        <v>38.200000000000003</v>
      </c>
      <c r="AX63">
        <v>61</v>
      </c>
      <c r="AY63">
        <v>71.791700000000006</v>
      </c>
      <c r="AZ63">
        <v>130</v>
      </c>
      <c r="BA63">
        <v>24.708300000000001</v>
      </c>
      <c r="BV63">
        <v>61</v>
      </c>
      <c r="BW63">
        <v>107.9697</v>
      </c>
      <c r="BX63">
        <v>128</v>
      </c>
      <c r="BY63">
        <v>29.9697</v>
      </c>
      <c r="CB63">
        <v>61</v>
      </c>
      <c r="CC63">
        <v>87.7273</v>
      </c>
      <c r="CD63">
        <v>136</v>
      </c>
      <c r="CE63">
        <v>27.2121</v>
      </c>
      <c r="CH63">
        <v>61</v>
      </c>
      <c r="CI63">
        <v>83.777799999999999</v>
      </c>
      <c r="CJ63">
        <v>138</v>
      </c>
      <c r="CK63">
        <v>35</v>
      </c>
      <c r="CN63">
        <v>61</v>
      </c>
      <c r="CO63">
        <v>92.051299999999998</v>
      </c>
      <c r="CP63">
        <v>129</v>
      </c>
      <c r="CQ63">
        <v>27.487200000000001</v>
      </c>
      <c r="CT63">
        <v>61</v>
      </c>
      <c r="CU63">
        <v>79.2286</v>
      </c>
      <c r="CV63">
        <v>131</v>
      </c>
      <c r="CW63">
        <v>28.828600000000002</v>
      </c>
      <c r="CZ63">
        <v>61</v>
      </c>
      <c r="DA63">
        <v>75.292699999999996</v>
      </c>
      <c r="DB63">
        <v>152</v>
      </c>
      <c r="DC63">
        <v>61.853700000000003</v>
      </c>
      <c r="DF63">
        <v>61</v>
      </c>
      <c r="DG63">
        <v>95.511099999999999</v>
      </c>
      <c r="DH63">
        <v>138</v>
      </c>
      <c r="DI63">
        <v>33.4</v>
      </c>
    </row>
    <row r="64" spans="2:113" x14ac:dyDescent="0.3">
      <c r="B64">
        <v>62</v>
      </c>
      <c r="C64">
        <v>95.631600000000006</v>
      </c>
      <c r="D64">
        <v>142</v>
      </c>
      <c r="E64">
        <v>40.552599999999998</v>
      </c>
      <c r="N64">
        <v>62</v>
      </c>
      <c r="O64">
        <v>96.088200000000001</v>
      </c>
      <c r="P64">
        <v>134</v>
      </c>
      <c r="Q64">
        <v>31.147099999999998</v>
      </c>
      <c r="Z64">
        <v>62</v>
      </c>
      <c r="AA64">
        <v>92.857100000000003</v>
      </c>
      <c r="AB64">
        <v>132</v>
      </c>
      <c r="AC64">
        <v>27.5</v>
      </c>
      <c r="AF64">
        <v>62</v>
      </c>
      <c r="AG64">
        <v>102.28570000000001</v>
      </c>
      <c r="AH64">
        <v>129</v>
      </c>
      <c r="AI64">
        <v>29.964300000000001</v>
      </c>
      <c r="AL64">
        <v>62</v>
      </c>
      <c r="AM64">
        <v>73.2667</v>
      </c>
      <c r="AN64">
        <v>134</v>
      </c>
      <c r="AO64">
        <v>37.966700000000003</v>
      </c>
      <c r="AX64">
        <v>62</v>
      </c>
      <c r="AY64">
        <v>70.166700000000006</v>
      </c>
      <c r="AZ64">
        <v>131</v>
      </c>
      <c r="BA64">
        <v>23.708300000000001</v>
      </c>
      <c r="BV64">
        <v>62</v>
      </c>
      <c r="BW64">
        <v>107.36360000000001</v>
      </c>
      <c r="BX64">
        <v>129</v>
      </c>
      <c r="BY64">
        <v>29.0303</v>
      </c>
      <c r="CB64">
        <v>62</v>
      </c>
      <c r="CC64">
        <v>88.2727</v>
      </c>
      <c r="CD64">
        <v>137</v>
      </c>
      <c r="CE64">
        <v>26.7273</v>
      </c>
      <c r="CH64">
        <v>62</v>
      </c>
      <c r="CI64">
        <v>85.222200000000001</v>
      </c>
      <c r="CJ64">
        <v>139</v>
      </c>
      <c r="CK64">
        <v>34.416699999999999</v>
      </c>
      <c r="CN64">
        <v>62</v>
      </c>
      <c r="CO64">
        <v>93.307699999999997</v>
      </c>
      <c r="CP64">
        <v>130</v>
      </c>
      <c r="CQ64">
        <v>27.1282</v>
      </c>
      <c r="CT64">
        <v>62</v>
      </c>
      <c r="CU64">
        <v>80.142899999999997</v>
      </c>
      <c r="CV64">
        <v>132</v>
      </c>
      <c r="CW64">
        <v>28.2</v>
      </c>
      <c r="CZ64">
        <v>62</v>
      </c>
      <c r="DA64">
        <v>76.9756</v>
      </c>
      <c r="DB64">
        <v>153</v>
      </c>
      <c r="DC64">
        <v>60.292700000000004</v>
      </c>
      <c r="DF64">
        <v>62</v>
      </c>
      <c r="DG64">
        <v>96.333299999999994</v>
      </c>
      <c r="DH64">
        <v>139</v>
      </c>
      <c r="DI64">
        <v>32.933300000000003</v>
      </c>
    </row>
    <row r="65" spans="2:113" x14ac:dyDescent="0.3">
      <c r="B65">
        <v>63</v>
      </c>
      <c r="C65">
        <v>96.578900000000004</v>
      </c>
      <c r="D65">
        <v>143</v>
      </c>
      <c r="E65">
        <v>40.710500000000003</v>
      </c>
      <c r="N65">
        <v>63</v>
      </c>
      <c r="O65">
        <v>96.470600000000005</v>
      </c>
      <c r="P65">
        <v>135</v>
      </c>
      <c r="Q65">
        <v>30.558800000000002</v>
      </c>
      <c r="Z65">
        <v>63</v>
      </c>
      <c r="AA65">
        <v>93.785700000000006</v>
      </c>
      <c r="AB65">
        <v>133</v>
      </c>
      <c r="AC65">
        <v>27.142900000000001</v>
      </c>
      <c r="AF65">
        <v>63</v>
      </c>
      <c r="AG65">
        <v>102.8214</v>
      </c>
      <c r="AH65">
        <v>130</v>
      </c>
      <c r="AI65">
        <v>29.607099999999999</v>
      </c>
      <c r="AL65">
        <v>63</v>
      </c>
      <c r="AM65">
        <v>75.666700000000006</v>
      </c>
      <c r="AN65">
        <v>135</v>
      </c>
      <c r="AO65">
        <v>37.466700000000003</v>
      </c>
      <c r="AX65">
        <v>63</v>
      </c>
      <c r="AY65">
        <v>68.833299999999994</v>
      </c>
      <c r="AZ65">
        <v>132</v>
      </c>
      <c r="BA65">
        <v>22.958300000000001</v>
      </c>
      <c r="BV65">
        <v>63</v>
      </c>
      <c r="BW65">
        <v>106.303</v>
      </c>
      <c r="BX65">
        <v>130</v>
      </c>
      <c r="BY65">
        <v>28.333300000000001</v>
      </c>
      <c r="CB65">
        <v>63</v>
      </c>
      <c r="CC65">
        <v>89.909099999999995</v>
      </c>
      <c r="CD65">
        <v>138</v>
      </c>
      <c r="CE65">
        <v>26.636399999999998</v>
      </c>
      <c r="CH65">
        <v>63</v>
      </c>
      <c r="CI65">
        <v>86.555599999999998</v>
      </c>
      <c r="CJ65">
        <v>140</v>
      </c>
      <c r="CK65">
        <v>34.222200000000001</v>
      </c>
      <c r="CN65">
        <v>63</v>
      </c>
      <c r="CO65">
        <v>94.051299999999998</v>
      </c>
      <c r="CP65">
        <v>131</v>
      </c>
      <c r="CQ65">
        <v>26.923100000000002</v>
      </c>
      <c r="CT65">
        <v>63</v>
      </c>
      <c r="CU65">
        <v>81.1143</v>
      </c>
      <c r="CV65">
        <v>133</v>
      </c>
      <c r="CW65">
        <v>27.4</v>
      </c>
      <c r="CZ65">
        <v>63</v>
      </c>
      <c r="DA65">
        <v>76.146299999999997</v>
      </c>
      <c r="DB65">
        <v>154</v>
      </c>
      <c r="DC65">
        <v>59.122</v>
      </c>
      <c r="DF65">
        <v>63</v>
      </c>
      <c r="DG65">
        <v>97.2667</v>
      </c>
      <c r="DH65">
        <v>140</v>
      </c>
      <c r="DI65">
        <v>32.288899999999998</v>
      </c>
    </row>
    <row r="66" spans="2:113" x14ac:dyDescent="0.3">
      <c r="B66">
        <v>64</v>
      </c>
      <c r="C66">
        <v>97.473699999999994</v>
      </c>
      <c r="D66">
        <v>144</v>
      </c>
      <c r="E66">
        <v>41.263199999999998</v>
      </c>
      <c r="N66">
        <v>64</v>
      </c>
      <c r="O66">
        <v>96.882400000000004</v>
      </c>
      <c r="P66">
        <v>136</v>
      </c>
      <c r="Q66">
        <v>29.941199999999998</v>
      </c>
      <c r="Z66">
        <v>64</v>
      </c>
      <c r="AA66">
        <v>94.607100000000003</v>
      </c>
      <c r="AB66">
        <v>134</v>
      </c>
      <c r="AC66">
        <v>27</v>
      </c>
      <c r="AF66">
        <v>64</v>
      </c>
      <c r="AG66">
        <v>103.3214</v>
      </c>
      <c r="AH66">
        <v>131</v>
      </c>
      <c r="AI66">
        <v>29.357099999999999</v>
      </c>
      <c r="AL66">
        <v>64</v>
      </c>
      <c r="AM66">
        <v>77.2333</v>
      </c>
      <c r="AN66">
        <v>136</v>
      </c>
      <c r="AO66">
        <v>36.433300000000003</v>
      </c>
      <c r="AX66">
        <v>64</v>
      </c>
      <c r="AY66">
        <v>67.75</v>
      </c>
      <c r="AZ66">
        <v>133</v>
      </c>
      <c r="BA66">
        <v>22</v>
      </c>
      <c r="BV66">
        <v>64</v>
      </c>
      <c r="BW66">
        <v>104.7576</v>
      </c>
      <c r="BX66">
        <v>131</v>
      </c>
      <c r="BY66">
        <v>27.818200000000001</v>
      </c>
      <c r="CB66">
        <v>64</v>
      </c>
      <c r="CC66">
        <v>91.878799999999998</v>
      </c>
      <c r="CD66">
        <v>139</v>
      </c>
      <c r="CE66">
        <v>26.939399999999999</v>
      </c>
      <c r="CH66">
        <v>64</v>
      </c>
      <c r="CI66">
        <v>88.194400000000002</v>
      </c>
      <c r="CJ66">
        <v>141</v>
      </c>
      <c r="CK66">
        <v>33.833300000000001</v>
      </c>
      <c r="CN66">
        <v>64</v>
      </c>
      <c r="CO66">
        <v>94.333299999999994</v>
      </c>
      <c r="CP66">
        <v>132</v>
      </c>
      <c r="CQ66">
        <v>26.794899999999998</v>
      </c>
      <c r="CT66">
        <v>64</v>
      </c>
      <c r="CU66">
        <v>82.285700000000006</v>
      </c>
      <c r="CV66">
        <v>134</v>
      </c>
      <c r="CW66">
        <v>26.571400000000001</v>
      </c>
      <c r="CZ66">
        <v>64</v>
      </c>
      <c r="DA66">
        <v>73.853700000000003</v>
      </c>
      <c r="DB66">
        <v>155</v>
      </c>
      <c r="DC66">
        <v>58.9512</v>
      </c>
      <c r="DF66">
        <v>64</v>
      </c>
      <c r="DG66">
        <v>97.622200000000007</v>
      </c>
      <c r="DH66">
        <v>141</v>
      </c>
      <c r="DI66">
        <v>31.466699999999999</v>
      </c>
    </row>
    <row r="67" spans="2:113" x14ac:dyDescent="0.3">
      <c r="B67">
        <v>65</v>
      </c>
      <c r="C67">
        <v>98.947400000000002</v>
      </c>
      <c r="D67">
        <v>145</v>
      </c>
      <c r="E67">
        <v>40.421100000000003</v>
      </c>
      <c r="N67">
        <v>65</v>
      </c>
      <c r="O67">
        <v>97.529399999999995</v>
      </c>
      <c r="P67">
        <v>137</v>
      </c>
      <c r="Q67">
        <v>29.235299999999999</v>
      </c>
      <c r="Z67">
        <v>65</v>
      </c>
      <c r="AA67">
        <v>95.678600000000003</v>
      </c>
      <c r="AB67">
        <v>135</v>
      </c>
      <c r="AC67">
        <v>26.857099999999999</v>
      </c>
      <c r="AF67">
        <v>65</v>
      </c>
      <c r="AG67">
        <v>103.6071</v>
      </c>
      <c r="AH67">
        <v>132</v>
      </c>
      <c r="AI67">
        <v>29.107099999999999</v>
      </c>
      <c r="AL67">
        <v>65</v>
      </c>
      <c r="AM67">
        <v>79.533299999999997</v>
      </c>
      <c r="AN67">
        <v>137</v>
      </c>
      <c r="AO67">
        <v>34.7667</v>
      </c>
      <c r="AX67">
        <v>65</v>
      </c>
      <c r="AY67">
        <v>67.791700000000006</v>
      </c>
      <c r="AZ67">
        <v>134</v>
      </c>
      <c r="BA67">
        <v>20.791699999999999</v>
      </c>
      <c r="BV67">
        <v>65</v>
      </c>
      <c r="BW67">
        <v>103.2727</v>
      </c>
      <c r="BX67">
        <v>132</v>
      </c>
      <c r="BY67">
        <v>27.393899999999999</v>
      </c>
      <c r="CB67">
        <v>65</v>
      </c>
      <c r="CC67">
        <v>93.484800000000007</v>
      </c>
      <c r="CD67">
        <v>140</v>
      </c>
      <c r="CE67">
        <v>26.939399999999999</v>
      </c>
      <c r="CH67">
        <v>65</v>
      </c>
      <c r="CI67">
        <v>89.777799999999999</v>
      </c>
      <c r="CJ67">
        <v>142</v>
      </c>
      <c r="CK67">
        <v>33.444400000000002</v>
      </c>
      <c r="CN67">
        <v>65</v>
      </c>
      <c r="CO67">
        <v>94.384600000000006</v>
      </c>
      <c r="CP67">
        <v>133</v>
      </c>
      <c r="CQ67">
        <v>26.743600000000001</v>
      </c>
      <c r="CT67">
        <v>65</v>
      </c>
      <c r="CU67">
        <v>83.1143</v>
      </c>
      <c r="CV67">
        <v>135</v>
      </c>
      <c r="CW67">
        <v>26.171399999999998</v>
      </c>
      <c r="CZ67">
        <v>65</v>
      </c>
      <c r="DA67">
        <v>73.243899999999996</v>
      </c>
      <c r="DB67">
        <v>156</v>
      </c>
      <c r="DC67">
        <v>58.9024</v>
      </c>
      <c r="DF67">
        <v>65</v>
      </c>
      <c r="DG67">
        <v>98.222200000000001</v>
      </c>
      <c r="DH67">
        <v>142</v>
      </c>
      <c r="DI67">
        <v>29.622199999999999</v>
      </c>
    </row>
    <row r="68" spans="2:113" x14ac:dyDescent="0.3">
      <c r="B68">
        <v>66</v>
      </c>
      <c r="C68">
        <v>100.97369999999999</v>
      </c>
      <c r="D68">
        <v>146</v>
      </c>
      <c r="E68">
        <v>39.157899999999998</v>
      </c>
      <c r="N68">
        <v>66</v>
      </c>
      <c r="O68">
        <v>97.970600000000005</v>
      </c>
      <c r="P68">
        <v>138</v>
      </c>
      <c r="Q68">
        <v>28.7941</v>
      </c>
      <c r="Z68">
        <v>66</v>
      </c>
      <c r="AA68">
        <v>96.75</v>
      </c>
      <c r="AB68">
        <v>136</v>
      </c>
      <c r="AC68">
        <v>26.642900000000001</v>
      </c>
      <c r="AF68">
        <v>66</v>
      </c>
      <c r="AG68">
        <v>103.8929</v>
      </c>
      <c r="AH68">
        <v>133</v>
      </c>
      <c r="AI68">
        <v>29.035699999999999</v>
      </c>
      <c r="AL68">
        <v>66</v>
      </c>
      <c r="AM68">
        <v>82.7667</v>
      </c>
      <c r="AN68">
        <v>138</v>
      </c>
      <c r="AO68">
        <v>33.466700000000003</v>
      </c>
      <c r="AX68">
        <v>66</v>
      </c>
      <c r="AY68">
        <v>67.625</v>
      </c>
      <c r="AZ68">
        <v>135</v>
      </c>
      <c r="BA68">
        <v>19.75</v>
      </c>
      <c r="BV68">
        <v>66</v>
      </c>
      <c r="BW68">
        <v>101.7576</v>
      </c>
      <c r="BX68">
        <v>133</v>
      </c>
      <c r="BY68">
        <v>27.090900000000001</v>
      </c>
      <c r="CB68">
        <v>66</v>
      </c>
      <c r="CC68">
        <v>94.697000000000003</v>
      </c>
      <c r="CD68">
        <v>141</v>
      </c>
      <c r="CE68">
        <v>25.4848</v>
      </c>
      <c r="CH68">
        <v>66</v>
      </c>
      <c r="CI68">
        <v>90.75</v>
      </c>
      <c r="CJ68">
        <v>143</v>
      </c>
      <c r="CK68">
        <v>32.5</v>
      </c>
      <c r="CN68">
        <v>66</v>
      </c>
      <c r="CO68">
        <v>94.538499999999999</v>
      </c>
      <c r="CP68">
        <v>134</v>
      </c>
      <c r="CQ68">
        <v>26.538499999999999</v>
      </c>
      <c r="CT68">
        <v>66</v>
      </c>
      <c r="CU68">
        <v>83.285700000000006</v>
      </c>
      <c r="CV68">
        <v>136</v>
      </c>
      <c r="CW68">
        <v>26.028600000000001</v>
      </c>
      <c r="CZ68">
        <v>66</v>
      </c>
      <c r="DA68">
        <v>75.195099999999996</v>
      </c>
      <c r="DB68">
        <v>157</v>
      </c>
      <c r="DC68">
        <v>58.365900000000003</v>
      </c>
      <c r="DF68">
        <v>66</v>
      </c>
      <c r="DG68">
        <v>99.622200000000007</v>
      </c>
      <c r="DH68">
        <v>143</v>
      </c>
      <c r="DI68">
        <v>27.6</v>
      </c>
    </row>
    <row r="69" spans="2:113" x14ac:dyDescent="0.3">
      <c r="B69">
        <v>67</v>
      </c>
      <c r="C69">
        <v>103.0526</v>
      </c>
      <c r="D69">
        <v>147</v>
      </c>
      <c r="E69">
        <v>38.078899999999997</v>
      </c>
      <c r="N69">
        <v>67</v>
      </c>
      <c r="O69">
        <v>98.411799999999999</v>
      </c>
      <c r="P69">
        <v>139</v>
      </c>
      <c r="Q69">
        <v>28.382400000000001</v>
      </c>
      <c r="Z69">
        <v>67</v>
      </c>
      <c r="AA69">
        <v>98</v>
      </c>
      <c r="AB69">
        <v>137</v>
      </c>
      <c r="AC69">
        <v>26.035699999999999</v>
      </c>
      <c r="AL69">
        <v>67</v>
      </c>
      <c r="AM69">
        <v>86.2667</v>
      </c>
      <c r="AN69">
        <v>139</v>
      </c>
      <c r="AO69">
        <v>33.2333</v>
      </c>
      <c r="AX69">
        <v>67</v>
      </c>
      <c r="AY69">
        <v>66.916700000000006</v>
      </c>
      <c r="AZ69">
        <v>136</v>
      </c>
      <c r="BA69">
        <v>19.125</v>
      </c>
      <c r="CB69">
        <v>67</v>
      </c>
      <c r="CC69">
        <v>95.878799999999998</v>
      </c>
      <c r="CD69">
        <v>142</v>
      </c>
      <c r="CE69">
        <v>23.7879</v>
      </c>
      <c r="CH69">
        <v>67</v>
      </c>
      <c r="CI69">
        <v>91.583299999999994</v>
      </c>
      <c r="CJ69">
        <v>144</v>
      </c>
      <c r="CK69">
        <v>31.444400000000002</v>
      </c>
      <c r="CN69">
        <v>67</v>
      </c>
      <c r="CO69">
        <v>94.820499999999996</v>
      </c>
      <c r="CP69">
        <v>135</v>
      </c>
      <c r="CQ69">
        <v>25.666699999999999</v>
      </c>
      <c r="CT69">
        <v>67</v>
      </c>
      <c r="CU69">
        <v>83.1143</v>
      </c>
      <c r="CV69">
        <v>137</v>
      </c>
      <c r="CW69">
        <v>25.571400000000001</v>
      </c>
      <c r="CZ69">
        <v>67</v>
      </c>
      <c r="DA69">
        <v>78.438999999999993</v>
      </c>
      <c r="DB69">
        <v>158</v>
      </c>
      <c r="DC69">
        <v>56.780500000000004</v>
      </c>
      <c r="DF69">
        <v>67</v>
      </c>
      <c r="DG69">
        <v>101.2667</v>
      </c>
      <c r="DH69">
        <v>144</v>
      </c>
      <c r="DI69">
        <v>26.244399999999999</v>
      </c>
    </row>
    <row r="70" spans="2:113" x14ac:dyDescent="0.3">
      <c r="B70">
        <v>68</v>
      </c>
      <c r="C70">
        <v>104.0526</v>
      </c>
      <c r="D70">
        <v>148</v>
      </c>
      <c r="E70">
        <v>37.421100000000003</v>
      </c>
      <c r="N70">
        <v>68</v>
      </c>
      <c r="O70">
        <v>98.970600000000005</v>
      </c>
      <c r="P70">
        <v>140</v>
      </c>
      <c r="Q70">
        <v>27.911799999999999</v>
      </c>
      <c r="Z70">
        <v>68</v>
      </c>
      <c r="AA70">
        <v>99.071399999999997</v>
      </c>
      <c r="AB70">
        <v>138</v>
      </c>
      <c r="AC70">
        <v>25.071400000000001</v>
      </c>
      <c r="AL70">
        <v>68</v>
      </c>
      <c r="AM70">
        <v>89.133300000000006</v>
      </c>
      <c r="AN70">
        <v>140</v>
      </c>
      <c r="AO70">
        <v>33.4</v>
      </c>
      <c r="AX70">
        <v>68</v>
      </c>
      <c r="AY70">
        <v>67.208299999999994</v>
      </c>
      <c r="AZ70">
        <v>137</v>
      </c>
      <c r="BA70">
        <v>18.875</v>
      </c>
      <c r="CB70">
        <v>68</v>
      </c>
      <c r="CC70">
        <v>97.030299999999997</v>
      </c>
      <c r="CD70">
        <v>143</v>
      </c>
      <c r="CE70">
        <v>22.333300000000001</v>
      </c>
      <c r="CH70">
        <v>68</v>
      </c>
      <c r="CI70">
        <v>91.944400000000002</v>
      </c>
      <c r="CJ70">
        <v>145</v>
      </c>
      <c r="CK70">
        <v>30.055599999999998</v>
      </c>
      <c r="CT70">
        <v>68</v>
      </c>
      <c r="CU70">
        <v>82.8857</v>
      </c>
      <c r="CV70">
        <v>138</v>
      </c>
      <c r="CW70">
        <v>24.828600000000002</v>
      </c>
      <c r="CZ70">
        <v>68</v>
      </c>
      <c r="DA70">
        <v>82.9024</v>
      </c>
      <c r="DB70">
        <v>159</v>
      </c>
      <c r="DC70">
        <v>54.658499999999997</v>
      </c>
      <c r="DF70">
        <v>68</v>
      </c>
      <c r="DG70">
        <v>102.4667</v>
      </c>
      <c r="DH70">
        <v>145</v>
      </c>
      <c r="DI70">
        <v>24.622199999999999</v>
      </c>
    </row>
    <row r="71" spans="2:113" x14ac:dyDescent="0.3">
      <c r="B71">
        <v>69</v>
      </c>
      <c r="C71">
        <v>103.86839999999999</v>
      </c>
      <c r="D71">
        <v>149</v>
      </c>
      <c r="E71">
        <v>36.8947</v>
      </c>
      <c r="N71">
        <v>69</v>
      </c>
      <c r="O71">
        <v>99.529399999999995</v>
      </c>
      <c r="P71">
        <v>141</v>
      </c>
      <c r="Q71">
        <v>27.411799999999999</v>
      </c>
      <c r="Z71">
        <v>69</v>
      </c>
      <c r="AA71">
        <v>100.5</v>
      </c>
      <c r="AB71">
        <v>139</v>
      </c>
      <c r="AC71">
        <v>24.178599999999999</v>
      </c>
      <c r="AL71">
        <v>69</v>
      </c>
      <c r="AM71">
        <v>91.4</v>
      </c>
      <c r="AN71">
        <v>141</v>
      </c>
      <c r="AO71">
        <v>32.933300000000003</v>
      </c>
      <c r="CB71">
        <v>69</v>
      </c>
      <c r="CC71">
        <v>98.302999999999997</v>
      </c>
      <c r="CD71">
        <v>144</v>
      </c>
      <c r="CE71">
        <v>21.2727</v>
      </c>
      <c r="CH71">
        <v>69</v>
      </c>
      <c r="CI71">
        <v>91.888900000000007</v>
      </c>
      <c r="CJ71">
        <v>146</v>
      </c>
      <c r="CK71">
        <v>29.25</v>
      </c>
      <c r="CT71">
        <v>69</v>
      </c>
      <c r="CU71">
        <v>82.8857</v>
      </c>
      <c r="CV71">
        <v>139</v>
      </c>
      <c r="CW71">
        <v>24.028600000000001</v>
      </c>
      <c r="CZ71">
        <v>69</v>
      </c>
      <c r="DA71">
        <v>89.365899999999996</v>
      </c>
      <c r="DB71">
        <v>160</v>
      </c>
      <c r="DC71">
        <v>52.122</v>
      </c>
      <c r="DF71">
        <v>69</v>
      </c>
      <c r="DG71">
        <v>103.4444</v>
      </c>
      <c r="DH71">
        <v>146</v>
      </c>
      <c r="DI71">
        <v>22.488900000000001</v>
      </c>
    </row>
    <row r="72" spans="2:113" x14ac:dyDescent="0.3">
      <c r="B72">
        <v>70</v>
      </c>
      <c r="C72">
        <v>103.63160000000001</v>
      </c>
      <c r="D72">
        <v>150</v>
      </c>
      <c r="E72">
        <v>36.6053</v>
      </c>
      <c r="N72">
        <v>70</v>
      </c>
      <c r="O72">
        <v>99.941199999999995</v>
      </c>
      <c r="P72">
        <v>142</v>
      </c>
      <c r="Q72">
        <v>27.176500000000001</v>
      </c>
      <c r="AL72">
        <v>70</v>
      </c>
      <c r="AM72">
        <v>93.466700000000003</v>
      </c>
      <c r="AN72">
        <v>142</v>
      </c>
      <c r="AO72">
        <v>31.9</v>
      </c>
      <c r="CB72">
        <v>70</v>
      </c>
      <c r="CC72">
        <v>99.424199999999999</v>
      </c>
      <c r="CD72">
        <v>145</v>
      </c>
      <c r="CE72">
        <v>20.454499999999999</v>
      </c>
      <c r="CH72">
        <v>70</v>
      </c>
      <c r="CI72">
        <v>92.277799999999999</v>
      </c>
      <c r="CJ72">
        <v>147</v>
      </c>
      <c r="CK72">
        <v>28.583300000000001</v>
      </c>
      <c r="CZ72">
        <v>70</v>
      </c>
      <c r="DA72">
        <v>95.536600000000007</v>
      </c>
      <c r="DB72">
        <v>161</v>
      </c>
      <c r="DC72">
        <v>50.292700000000004</v>
      </c>
      <c r="DF72">
        <v>70</v>
      </c>
      <c r="DG72">
        <v>104.2667</v>
      </c>
      <c r="DH72">
        <v>147</v>
      </c>
      <c r="DI72">
        <v>20.2</v>
      </c>
    </row>
    <row r="73" spans="2:113" x14ac:dyDescent="0.3">
      <c r="B73">
        <v>71</v>
      </c>
      <c r="C73">
        <v>103.3421</v>
      </c>
      <c r="D73">
        <v>151</v>
      </c>
      <c r="E73">
        <v>35.868400000000001</v>
      </c>
      <c r="N73">
        <v>71</v>
      </c>
      <c r="O73">
        <v>99.647099999999995</v>
      </c>
      <c r="P73">
        <v>143</v>
      </c>
      <c r="Q73">
        <v>26.941199999999998</v>
      </c>
      <c r="AL73">
        <v>71</v>
      </c>
      <c r="AM73">
        <v>94.8</v>
      </c>
      <c r="AN73">
        <v>143</v>
      </c>
      <c r="AO73">
        <v>30.9</v>
      </c>
      <c r="CB73">
        <v>71</v>
      </c>
      <c r="CC73">
        <v>100.1515</v>
      </c>
      <c r="CD73">
        <v>146</v>
      </c>
      <c r="CE73">
        <v>19.393899999999999</v>
      </c>
      <c r="CH73">
        <v>71</v>
      </c>
      <c r="CI73">
        <v>92.916700000000006</v>
      </c>
      <c r="CJ73">
        <v>148</v>
      </c>
      <c r="CK73">
        <v>27.8889</v>
      </c>
      <c r="CZ73">
        <v>71</v>
      </c>
      <c r="DA73">
        <v>98.561000000000007</v>
      </c>
      <c r="DB73">
        <v>162</v>
      </c>
      <c r="DC73">
        <v>48.6098</v>
      </c>
      <c r="DF73">
        <v>71</v>
      </c>
      <c r="DG73">
        <v>104.7333</v>
      </c>
      <c r="DH73">
        <v>148</v>
      </c>
      <c r="DI73">
        <v>18.666699999999999</v>
      </c>
    </row>
    <row r="74" spans="2:113" x14ac:dyDescent="0.3">
      <c r="B74">
        <v>72</v>
      </c>
      <c r="C74">
        <v>102.4474</v>
      </c>
      <c r="D74">
        <v>152</v>
      </c>
      <c r="E74">
        <v>35.078899999999997</v>
      </c>
      <c r="CB74">
        <v>72</v>
      </c>
      <c r="CC74">
        <v>100.1515</v>
      </c>
      <c r="CD74">
        <v>147</v>
      </c>
      <c r="CE74">
        <v>18.060600000000001</v>
      </c>
      <c r="CH74">
        <v>72</v>
      </c>
      <c r="CI74">
        <v>92.722200000000001</v>
      </c>
      <c r="CJ74">
        <v>149</v>
      </c>
      <c r="CK74">
        <v>27.25</v>
      </c>
      <c r="CZ74">
        <v>72</v>
      </c>
      <c r="DA74">
        <v>97.536600000000007</v>
      </c>
      <c r="DB74">
        <v>163</v>
      </c>
      <c r="DC74">
        <v>47.0732</v>
      </c>
      <c r="DF74">
        <v>72</v>
      </c>
      <c r="DG74">
        <v>104.66670000000001</v>
      </c>
      <c r="DH74">
        <v>149</v>
      </c>
      <c r="DI74">
        <v>18.333300000000001</v>
      </c>
    </row>
    <row r="75" spans="2:113" x14ac:dyDescent="0.3">
      <c r="B75">
        <v>73</v>
      </c>
      <c r="C75">
        <v>101.4474</v>
      </c>
      <c r="D75">
        <v>153</v>
      </c>
      <c r="E75">
        <v>34.473700000000001</v>
      </c>
      <c r="CB75">
        <v>73</v>
      </c>
      <c r="CC75">
        <v>100.1515</v>
      </c>
      <c r="CD75">
        <v>148</v>
      </c>
      <c r="CE75">
        <v>16.878799999999998</v>
      </c>
      <c r="CH75">
        <v>73</v>
      </c>
      <c r="CI75">
        <v>92.083299999999994</v>
      </c>
      <c r="CJ75">
        <v>150</v>
      </c>
      <c r="CK75">
        <v>26.6111</v>
      </c>
      <c r="CZ75">
        <v>73</v>
      </c>
      <c r="DA75">
        <v>92.365899999999996</v>
      </c>
      <c r="DB75">
        <v>164</v>
      </c>
      <c r="DC75">
        <v>45.9024</v>
      </c>
      <c r="DF75">
        <v>73</v>
      </c>
      <c r="DG75">
        <v>104.6889</v>
      </c>
      <c r="DH75">
        <v>150</v>
      </c>
      <c r="DI75">
        <v>18.244399999999999</v>
      </c>
    </row>
    <row r="76" spans="2:113" x14ac:dyDescent="0.3">
      <c r="B76">
        <v>74</v>
      </c>
      <c r="C76">
        <v>100.5789</v>
      </c>
      <c r="D76">
        <v>154</v>
      </c>
      <c r="E76">
        <v>33.578899999999997</v>
      </c>
      <c r="CB76">
        <v>74</v>
      </c>
      <c r="CC76">
        <v>100.36360000000001</v>
      </c>
      <c r="CD76">
        <v>149</v>
      </c>
      <c r="CE76">
        <v>15.424200000000001</v>
      </c>
      <c r="CH76">
        <v>74</v>
      </c>
      <c r="CI76">
        <v>91.694400000000002</v>
      </c>
      <c r="CJ76">
        <v>151</v>
      </c>
      <c r="CK76">
        <v>25.805599999999998</v>
      </c>
      <c r="CZ76">
        <v>74</v>
      </c>
      <c r="DA76">
        <v>84.121899999999997</v>
      </c>
      <c r="DB76">
        <v>165</v>
      </c>
      <c r="DC76">
        <v>44.3902</v>
      </c>
      <c r="DF76">
        <v>74</v>
      </c>
      <c r="DG76">
        <v>104.6</v>
      </c>
      <c r="DH76">
        <v>151</v>
      </c>
      <c r="DI76">
        <v>17.711099999999998</v>
      </c>
    </row>
    <row r="77" spans="2:113" x14ac:dyDescent="0.3">
      <c r="B77">
        <v>75</v>
      </c>
      <c r="C77">
        <v>99.710499999999996</v>
      </c>
      <c r="D77">
        <v>155</v>
      </c>
      <c r="E77">
        <v>33.052599999999998</v>
      </c>
      <c r="CH77">
        <v>75</v>
      </c>
      <c r="CI77">
        <v>91.444400000000002</v>
      </c>
      <c r="CJ77">
        <v>152</v>
      </c>
      <c r="CK77">
        <v>25.444400000000002</v>
      </c>
      <c r="CZ77">
        <v>75</v>
      </c>
      <c r="DA77">
        <v>77.195099999999996</v>
      </c>
      <c r="DB77">
        <v>166</v>
      </c>
      <c r="DC77">
        <v>43.0488</v>
      </c>
      <c r="DF77">
        <v>75</v>
      </c>
      <c r="DG77">
        <v>104.15560000000001</v>
      </c>
      <c r="DH77">
        <v>152</v>
      </c>
      <c r="DI77">
        <v>16.644400000000001</v>
      </c>
    </row>
    <row r="78" spans="2:113" x14ac:dyDescent="0.3">
      <c r="B78">
        <v>76</v>
      </c>
      <c r="C78">
        <v>99.184200000000004</v>
      </c>
      <c r="D78">
        <v>156</v>
      </c>
      <c r="E78">
        <v>32.631599999999999</v>
      </c>
      <c r="CH78">
        <v>76</v>
      </c>
      <c r="CI78">
        <v>91.138900000000007</v>
      </c>
      <c r="CJ78">
        <v>153</v>
      </c>
      <c r="CK78">
        <v>25.027799999999999</v>
      </c>
      <c r="CZ78">
        <v>76</v>
      </c>
      <c r="DA78">
        <v>77.365899999999996</v>
      </c>
      <c r="DB78">
        <v>167</v>
      </c>
      <c r="DC78">
        <v>41.9024</v>
      </c>
      <c r="DF78">
        <v>76</v>
      </c>
      <c r="DG78">
        <v>103.84439999999999</v>
      </c>
      <c r="DH78">
        <v>153</v>
      </c>
      <c r="DI78">
        <v>16.066700000000001</v>
      </c>
    </row>
    <row r="79" spans="2:113" x14ac:dyDescent="0.3">
      <c r="B79">
        <v>77</v>
      </c>
      <c r="C79">
        <v>99.184200000000004</v>
      </c>
      <c r="D79">
        <v>157</v>
      </c>
      <c r="E79">
        <v>32.210500000000003</v>
      </c>
      <c r="CZ79">
        <v>77</v>
      </c>
      <c r="DA79">
        <v>82.0976</v>
      </c>
      <c r="DB79">
        <v>168</v>
      </c>
      <c r="DC79">
        <v>41.0732</v>
      </c>
    </row>
    <row r="80" spans="2:113" x14ac:dyDescent="0.3">
      <c r="B80">
        <v>78</v>
      </c>
      <c r="C80">
        <v>99</v>
      </c>
      <c r="D80">
        <v>158</v>
      </c>
      <c r="E80">
        <v>31.921099999999999</v>
      </c>
      <c r="CZ80">
        <v>78</v>
      </c>
      <c r="DA80">
        <v>86.634100000000004</v>
      </c>
      <c r="DB80">
        <v>169</v>
      </c>
      <c r="DC80">
        <v>39.731699999999996</v>
      </c>
    </row>
    <row r="81" spans="2:107" x14ac:dyDescent="0.3">
      <c r="B81">
        <v>79</v>
      </c>
      <c r="C81">
        <v>98.763199999999998</v>
      </c>
      <c r="D81">
        <v>159</v>
      </c>
      <c r="E81">
        <v>31.631599999999999</v>
      </c>
      <c r="CZ81">
        <v>79</v>
      </c>
      <c r="DA81">
        <v>92.0976</v>
      </c>
      <c r="DB81">
        <v>170</v>
      </c>
      <c r="DC81">
        <v>38.731699999999996</v>
      </c>
    </row>
    <row r="82" spans="2:107" x14ac:dyDescent="0.3">
      <c r="CZ82">
        <v>80</v>
      </c>
      <c r="DA82">
        <v>96.682900000000004</v>
      </c>
      <c r="DB82">
        <v>171</v>
      </c>
      <c r="DC82">
        <v>37.0244</v>
      </c>
    </row>
    <row r="83" spans="2:107" x14ac:dyDescent="0.3">
      <c r="CZ83">
        <v>81</v>
      </c>
      <c r="DA83">
        <v>99.438999999999993</v>
      </c>
      <c r="DB83">
        <v>172</v>
      </c>
      <c r="DC83">
        <v>35.341500000000003</v>
      </c>
    </row>
    <row r="84" spans="2:107" x14ac:dyDescent="0.3">
      <c r="CZ84">
        <v>82</v>
      </c>
      <c r="DA84">
        <v>100.51220000000001</v>
      </c>
      <c r="DB84">
        <v>173</v>
      </c>
      <c r="DC84">
        <v>33.5854</v>
      </c>
    </row>
    <row r="85" spans="2:107" x14ac:dyDescent="0.3">
      <c r="CZ85">
        <v>83</v>
      </c>
      <c r="DA85">
        <v>99.731700000000004</v>
      </c>
      <c r="DB85">
        <v>174</v>
      </c>
      <c r="DC85">
        <v>32.658499999999997</v>
      </c>
    </row>
    <row r="86" spans="2:107" x14ac:dyDescent="0.3">
      <c r="CZ86">
        <v>84</v>
      </c>
      <c r="DA86">
        <v>97.707300000000004</v>
      </c>
      <c r="DB86">
        <v>175</v>
      </c>
      <c r="DC86">
        <v>31.8049</v>
      </c>
    </row>
    <row r="87" spans="2:107" x14ac:dyDescent="0.3">
      <c r="CZ87">
        <v>85</v>
      </c>
      <c r="DA87">
        <v>96.731700000000004</v>
      </c>
      <c r="DB87">
        <v>176</v>
      </c>
      <c r="DC87">
        <v>30.6341</v>
      </c>
    </row>
    <row r="88" spans="2:107" x14ac:dyDescent="0.3">
      <c r="CZ88">
        <v>86</v>
      </c>
      <c r="DA88">
        <v>97.292699999999996</v>
      </c>
      <c r="DB88">
        <v>177</v>
      </c>
      <c r="DC88">
        <v>30.0488</v>
      </c>
    </row>
    <row r="89" spans="2:107" x14ac:dyDescent="0.3">
      <c r="CZ89">
        <v>87</v>
      </c>
      <c r="DA89">
        <v>98.829300000000003</v>
      </c>
      <c r="DB89">
        <v>178</v>
      </c>
      <c r="DC89">
        <v>29.4634</v>
      </c>
    </row>
    <row r="90" spans="2:107" x14ac:dyDescent="0.3">
      <c r="CZ90">
        <v>88</v>
      </c>
      <c r="DA90">
        <v>100.8537</v>
      </c>
      <c r="DB90">
        <v>179</v>
      </c>
      <c r="DC90">
        <v>28.6341</v>
      </c>
    </row>
    <row r="91" spans="2:107" x14ac:dyDescent="0.3">
      <c r="CZ91">
        <v>89</v>
      </c>
      <c r="DA91">
        <v>102.7073</v>
      </c>
      <c r="DB91">
        <v>180</v>
      </c>
      <c r="DC91">
        <v>27.3659</v>
      </c>
    </row>
    <row r="92" spans="2:107" x14ac:dyDescent="0.3">
      <c r="CZ92">
        <v>90</v>
      </c>
      <c r="DA92">
        <v>103.8293</v>
      </c>
      <c r="DB92">
        <v>181</v>
      </c>
      <c r="DC92">
        <v>26.3171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E981C-AD2D-495B-81ED-D194872D7B26}">
  <dimension ref="A1:CE91"/>
  <sheetViews>
    <sheetView topLeftCell="A37" workbookViewId="0">
      <selection activeCell="C65" sqref="C65"/>
    </sheetView>
  </sheetViews>
  <sheetFormatPr defaultRowHeight="14.4" x14ac:dyDescent="0.3"/>
  <sheetData>
    <row r="1" spans="1:83" x14ac:dyDescent="0.3">
      <c r="A1" t="s">
        <v>2</v>
      </c>
      <c r="C1" t="s">
        <v>6</v>
      </c>
      <c r="E1" t="s">
        <v>4</v>
      </c>
      <c r="G1" t="s">
        <v>2</v>
      </c>
      <c r="I1" t="s">
        <v>6</v>
      </c>
      <c r="K1" t="s">
        <v>4</v>
      </c>
      <c r="M1" t="s">
        <v>2</v>
      </c>
      <c r="O1" t="s">
        <v>6</v>
      </c>
      <c r="Q1" t="s">
        <v>4</v>
      </c>
      <c r="S1" t="s">
        <v>2</v>
      </c>
      <c r="U1" t="s">
        <v>6</v>
      </c>
      <c r="W1" t="s">
        <v>4</v>
      </c>
      <c r="Y1" t="s">
        <v>2</v>
      </c>
      <c r="AA1" t="s">
        <v>6</v>
      </c>
      <c r="AC1" t="s">
        <v>4</v>
      </c>
      <c r="AE1" t="s">
        <v>2</v>
      </c>
      <c r="AG1" t="s">
        <v>6</v>
      </c>
      <c r="AI1" t="s">
        <v>4</v>
      </c>
      <c r="AK1" t="s">
        <v>2</v>
      </c>
      <c r="AM1" t="s">
        <v>6</v>
      </c>
      <c r="AO1" t="s">
        <v>4</v>
      </c>
      <c r="AQ1" t="s">
        <v>2</v>
      </c>
      <c r="AS1" t="s">
        <v>6</v>
      </c>
      <c r="AU1" t="s">
        <v>4</v>
      </c>
      <c r="AW1" t="s">
        <v>2</v>
      </c>
      <c r="AY1" t="s">
        <v>6</v>
      </c>
      <c r="BA1" t="s">
        <v>4</v>
      </c>
      <c r="BC1" t="s">
        <v>2</v>
      </c>
      <c r="BE1" t="s">
        <v>6</v>
      </c>
      <c r="BG1" t="s">
        <v>4</v>
      </c>
      <c r="BI1" t="s">
        <v>2</v>
      </c>
      <c r="BK1" t="s">
        <v>6</v>
      </c>
      <c r="BM1" t="s">
        <v>4</v>
      </c>
      <c r="BO1" t="s">
        <v>2</v>
      </c>
      <c r="BQ1" t="s">
        <v>6</v>
      </c>
      <c r="BS1" t="s">
        <v>4</v>
      </c>
      <c r="BU1" t="s">
        <v>2</v>
      </c>
      <c r="BW1" t="s">
        <v>6</v>
      </c>
      <c r="BY1" t="s">
        <v>4</v>
      </c>
      <c r="CA1" t="s">
        <v>2</v>
      </c>
      <c r="CC1" t="s">
        <v>6</v>
      </c>
      <c r="CE1" t="s">
        <v>4</v>
      </c>
    </row>
    <row r="2" spans="1:83" x14ac:dyDescent="0.3">
      <c r="A2">
        <v>1562</v>
      </c>
      <c r="B2">
        <v>0</v>
      </c>
      <c r="C2">
        <v>20.421099999999999</v>
      </c>
      <c r="D2">
        <v>63</v>
      </c>
      <c r="E2">
        <v>98.631600000000006</v>
      </c>
      <c r="G2">
        <v>1566</v>
      </c>
      <c r="H2">
        <v>0</v>
      </c>
      <c r="I2">
        <v>28.28</v>
      </c>
      <c r="J2">
        <v>56</v>
      </c>
      <c r="K2">
        <v>95.72</v>
      </c>
      <c r="M2">
        <v>1567</v>
      </c>
      <c r="N2">
        <v>0</v>
      </c>
      <c r="O2">
        <v>26.4</v>
      </c>
      <c r="P2">
        <v>64</v>
      </c>
      <c r="Q2">
        <v>97.333299999999994</v>
      </c>
      <c r="S2">
        <v>1568</v>
      </c>
      <c r="T2">
        <v>0</v>
      </c>
      <c r="U2">
        <v>30.805599999999998</v>
      </c>
      <c r="V2">
        <v>73</v>
      </c>
      <c r="W2">
        <v>101.25</v>
      </c>
      <c r="Y2">
        <v>1569</v>
      </c>
      <c r="Z2">
        <v>0</v>
      </c>
      <c r="AA2">
        <v>18.4419</v>
      </c>
      <c r="AB2">
        <v>90</v>
      </c>
      <c r="AC2">
        <v>98.906999999999996</v>
      </c>
      <c r="AE2">
        <v>1570</v>
      </c>
      <c r="AF2">
        <v>0</v>
      </c>
      <c r="AG2">
        <v>30.857099999999999</v>
      </c>
      <c r="AH2">
        <v>74</v>
      </c>
      <c r="AI2">
        <v>100.33329999999999</v>
      </c>
      <c r="AK2">
        <v>1571</v>
      </c>
      <c r="AL2">
        <v>0</v>
      </c>
      <c r="AM2">
        <v>33.714300000000001</v>
      </c>
      <c r="AN2">
        <v>73</v>
      </c>
      <c r="AO2">
        <v>115.3571</v>
      </c>
      <c r="AQ2">
        <v>1572</v>
      </c>
      <c r="AR2">
        <v>0</v>
      </c>
      <c r="AS2">
        <v>25.377800000000001</v>
      </c>
      <c r="AT2">
        <v>80</v>
      </c>
      <c r="AU2">
        <v>100.4889</v>
      </c>
      <c r="AW2">
        <v>1573</v>
      </c>
      <c r="AX2">
        <v>0</v>
      </c>
      <c r="AY2">
        <v>27.416699999999999</v>
      </c>
      <c r="AZ2">
        <v>58</v>
      </c>
      <c r="BA2">
        <v>69.166700000000006</v>
      </c>
      <c r="BC2">
        <v>1574</v>
      </c>
      <c r="BD2">
        <v>0</v>
      </c>
      <c r="BE2">
        <v>17.8</v>
      </c>
      <c r="BF2">
        <v>55</v>
      </c>
      <c r="BG2">
        <v>67</v>
      </c>
      <c r="BI2">
        <v>1575</v>
      </c>
      <c r="BJ2">
        <v>0</v>
      </c>
      <c r="BK2">
        <v>19.459499999999998</v>
      </c>
      <c r="BL2">
        <v>74</v>
      </c>
      <c r="BM2">
        <v>98.8108</v>
      </c>
      <c r="BO2">
        <v>1576</v>
      </c>
      <c r="BP2">
        <v>0</v>
      </c>
      <c r="BQ2">
        <v>27.7105</v>
      </c>
      <c r="BR2">
        <v>76</v>
      </c>
      <c r="BS2">
        <v>114.2895</v>
      </c>
      <c r="BU2">
        <v>1577</v>
      </c>
      <c r="BV2">
        <v>0</v>
      </c>
      <c r="BW2">
        <v>22.65</v>
      </c>
      <c r="BX2">
        <v>66</v>
      </c>
      <c r="BY2">
        <v>84.35</v>
      </c>
      <c r="CA2">
        <v>1578</v>
      </c>
      <c r="CB2">
        <v>0</v>
      </c>
      <c r="CC2">
        <v>19.511099999999999</v>
      </c>
      <c r="CD2">
        <v>78</v>
      </c>
      <c r="CE2">
        <v>84.244399999999999</v>
      </c>
    </row>
    <row r="3" spans="1:83" x14ac:dyDescent="0.3">
      <c r="B3">
        <v>1</v>
      </c>
      <c r="C3">
        <v>21.2105</v>
      </c>
      <c r="D3">
        <v>64</v>
      </c>
      <c r="E3">
        <v>97.5</v>
      </c>
      <c r="H3">
        <v>1</v>
      </c>
      <c r="I3">
        <v>28.2</v>
      </c>
      <c r="J3">
        <v>57</v>
      </c>
      <c r="K3">
        <v>96.48</v>
      </c>
      <c r="N3">
        <v>1</v>
      </c>
      <c r="O3">
        <v>27.133299999999998</v>
      </c>
      <c r="P3">
        <v>65</v>
      </c>
      <c r="Q3">
        <v>97.433300000000003</v>
      </c>
      <c r="T3">
        <v>1</v>
      </c>
      <c r="U3">
        <v>31.5</v>
      </c>
      <c r="V3">
        <v>74</v>
      </c>
      <c r="W3">
        <v>100.9722</v>
      </c>
      <c r="Z3">
        <v>1</v>
      </c>
      <c r="AA3">
        <v>19.162800000000001</v>
      </c>
      <c r="AB3">
        <v>91</v>
      </c>
      <c r="AC3">
        <v>98.837199999999996</v>
      </c>
      <c r="AF3">
        <v>1</v>
      </c>
      <c r="AG3">
        <v>31.238099999999999</v>
      </c>
      <c r="AH3">
        <v>75</v>
      </c>
      <c r="AI3">
        <v>100.09520000000001</v>
      </c>
      <c r="AL3">
        <v>1</v>
      </c>
      <c r="AM3">
        <v>34.178600000000003</v>
      </c>
      <c r="AN3">
        <v>74</v>
      </c>
      <c r="AO3">
        <v>115.6071</v>
      </c>
      <c r="AR3">
        <v>1</v>
      </c>
      <c r="AS3">
        <v>25.711099999999998</v>
      </c>
      <c r="AT3">
        <v>81</v>
      </c>
      <c r="AU3">
        <v>100.2889</v>
      </c>
      <c r="AX3">
        <v>1</v>
      </c>
      <c r="AY3">
        <v>28.333300000000001</v>
      </c>
      <c r="AZ3">
        <v>59</v>
      </c>
      <c r="BA3">
        <v>69.5</v>
      </c>
      <c r="BD3">
        <v>1</v>
      </c>
      <c r="BE3">
        <v>18.166699999999999</v>
      </c>
      <c r="BF3">
        <v>56</v>
      </c>
      <c r="BG3">
        <v>66.466700000000003</v>
      </c>
      <c r="BJ3">
        <v>1</v>
      </c>
      <c r="BK3">
        <v>20.459499999999998</v>
      </c>
      <c r="BL3">
        <v>75</v>
      </c>
      <c r="BM3">
        <v>99.1892</v>
      </c>
      <c r="BP3">
        <v>1</v>
      </c>
      <c r="BQ3">
        <v>28.078900000000001</v>
      </c>
      <c r="BR3">
        <v>77</v>
      </c>
      <c r="BS3">
        <v>110.9474</v>
      </c>
      <c r="BV3">
        <v>1</v>
      </c>
      <c r="BW3">
        <v>23.274999999999999</v>
      </c>
      <c r="BX3">
        <v>67</v>
      </c>
      <c r="BY3">
        <v>84.55</v>
      </c>
      <c r="CB3">
        <v>1</v>
      </c>
      <c r="CC3">
        <v>20.022200000000002</v>
      </c>
      <c r="CD3">
        <v>79</v>
      </c>
      <c r="CE3">
        <v>84.444400000000002</v>
      </c>
    </row>
    <row r="4" spans="1:83" x14ac:dyDescent="0.3">
      <c r="B4">
        <v>2</v>
      </c>
      <c r="C4">
        <v>22.368400000000001</v>
      </c>
      <c r="D4">
        <v>65</v>
      </c>
      <c r="E4">
        <v>95.6053</v>
      </c>
      <c r="H4">
        <v>2</v>
      </c>
      <c r="I4">
        <v>28.48</v>
      </c>
      <c r="J4">
        <v>58</v>
      </c>
      <c r="K4">
        <v>97.96</v>
      </c>
      <c r="N4">
        <v>2</v>
      </c>
      <c r="O4">
        <v>27.433299999999999</v>
      </c>
      <c r="P4">
        <v>66</v>
      </c>
      <c r="Q4">
        <v>97.5</v>
      </c>
      <c r="T4">
        <v>2</v>
      </c>
      <c r="U4">
        <v>32.305599999999998</v>
      </c>
      <c r="V4">
        <v>75</v>
      </c>
      <c r="W4">
        <v>100.2222</v>
      </c>
      <c r="Z4">
        <v>2</v>
      </c>
      <c r="AA4">
        <v>20.069800000000001</v>
      </c>
      <c r="AB4">
        <v>92</v>
      </c>
      <c r="AC4">
        <v>97.883700000000005</v>
      </c>
      <c r="AF4">
        <v>2</v>
      </c>
      <c r="AG4">
        <v>31.238099999999999</v>
      </c>
      <c r="AH4">
        <v>76</v>
      </c>
      <c r="AI4">
        <v>100.1429</v>
      </c>
      <c r="AL4">
        <v>2</v>
      </c>
      <c r="AM4">
        <v>34.428600000000003</v>
      </c>
      <c r="AN4">
        <v>75</v>
      </c>
      <c r="AO4">
        <v>115.71429999999999</v>
      </c>
      <c r="AR4">
        <v>2</v>
      </c>
      <c r="AS4">
        <v>26.088899999999999</v>
      </c>
      <c r="AT4">
        <v>82</v>
      </c>
      <c r="AU4">
        <v>100.2444</v>
      </c>
      <c r="AX4">
        <v>2</v>
      </c>
      <c r="AY4">
        <v>29.041699999999999</v>
      </c>
      <c r="AZ4">
        <v>60</v>
      </c>
      <c r="BA4">
        <v>69.791700000000006</v>
      </c>
      <c r="BD4">
        <v>2</v>
      </c>
      <c r="BE4">
        <v>18.399999999999999</v>
      </c>
      <c r="BF4">
        <v>57</v>
      </c>
      <c r="BG4">
        <v>66.2333</v>
      </c>
      <c r="BJ4">
        <v>2</v>
      </c>
      <c r="BK4">
        <v>21.1892</v>
      </c>
      <c r="BL4">
        <v>76</v>
      </c>
      <c r="BM4">
        <v>99.162199999999999</v>
      </c>
      <c r="BP4">
        <v>2</v>
      </c>
      <c r="BQ4">
        <v>28.5</v>
      </c>
      <c r="BR4">
        <v>78</v>
      </c>
      <c r="BS4">
        <v>103.02630000000001</v>
      </c>
      <c r="BV4">
        <v>2</v>
      </c>
      <c r="BW4">
        <v>23.824999999999999</v>
      </c>
      <c r="BX4">
        <v>68</v>
      </c>
      <c r="BY4">
        <v>84.8</v>
      </c>
      <c r="CB4">
        <v>2</v>
      </c>
      <c r="CC4">
        <v>20.333300000000001</v>
      </c>
      <c r="CD4">
        <v>80</v>
      </c>
      <c r="CE4">
        <v>85.133300000000006</v>
      </c>
    </row>
    <row r="5" spans="1:83" x14ac:dyDescent="0.3">
      <c r="B5">
        <v>3</v>
      </c>
      <c r="C5">
        <v>23.447399999999998</v>
      </c>
      <c r="D5">
        <v>66</v>
      </c>
      <c r="E5">
        <v>94.8947</v>
      </c>
      <c r="H5">
        <v>3</v>
      </c>
      <c r="I5">
        <v>28.84</v>
      </c>
      <c r="J5">
        <v>59</v>
      </c>
      <c r="K5">
        <v>98.68</v>
      </c>
      <c r="N5">
        <v>3</v>
      </c>
      <c r="O5">
        <v>27.666699999999999</v>
      </c>
      <c r="P5">
        <v>67</v>
      </c>
      <c r="Q5">
        <v>98.166700000000006</v>
      </c>
      <c r="T5">
        <v>3</v>
      </c>
      <c r="U5">
        <v>32.777799999999999</v>
      </c>
      <c r="V5">
        <v>76</v>
      </c>
      <c r="W5">
        <v>99.527799999999999</v>
      </c>
      <c r="Z5">
        <v>3</v>
      </c>
      <c r="AA5">
        <v>20.093</v>
      </c>
      <c r="AB5">
        <v>93</v>
      </c>
      <c r="AC5">
        <v>97.046499999999995</v>
      </c>
      <c r="AF5">
        <v>3</v>
      </c>
      <c r="AG5">
        <v>31.3095</v>
      </c>
      <c r="AH5">
        <v>77</v>
      </c>
      <c r="AI5">
        <v>100.02379999999999</v>
      </c>
      <c r="AL5">
        <v>3</v>
      </c>
      <c r="AM5">
        <v>34.607100000000003</v>
      </c>
      <c r="AN5">
        <v>76</v>
      </c>
      <c r="AO5">
        <v>115.1071</v>
      </c>
      <c r="AR5">
        <v>3</v>
      </c>
      <c r="AS5">
        <v>26.1556</v>
      </c>
      <c r="AT5">
        <v>83</v>
      </c>
      <c r="AU5">
        <v>100.2</v>
      </c>
      <c r="AX5">
        <v>3</v>
      </c>
      <c r="AY5">
        <v>29.083300000000001</v>
      </c>
      <c r="AZ5">
        <v>61</v>
      </c>
      <c r="BA5">
        <v>70.083299999999994</v>
      </c>
      <c r="BD5">
        <v>3</v>
      </c>
      <c r="BE5">
        <v>18.966699999999999</v>
      </c>
      <c r="BF5">
        <v>58</v>
      </c>
      <c r="BG5">
        <v>66.466700000000003</v>
      </c>
      <c r="BJ5">
        <v>3</v>
      </c>
      <c r="BK5">
        <v>21.621600000000001</v>
      </c>
      <c r="BL5">
        <v>77</v>
      </c>
      <c r="BM5">
        <v>98.945899999999995</v>
      </c>
      <c r="BP5">
        <v>3</v>
      </c>
      <c r="BQ5">
        <v>29.078900000000001</v>
      </c>
      <c r="BR5">
        <v>79</v>
      </c>
      <c r="BS5">
        <v>94.289500000000004</v>
      </c>
      <c r="BV5">
        <v>3</v>
      </c>
      <c r="BW5">
        <v>24.425000000000001</v>
      </c>
      <c r="BX5">
        <v>69</v>
      </c>
      <c r="BY5">
        <v>84.95</v>
      </c>
      <c r="CB5">
        <v>3</v>
      </c>
      <c r="CC5">
        <v>21.133299999999998</v>
      </c>
      <c r="CD5">
        <v>81</v>
      </c>
      <c r="CE5">
        <v>85.6</v>
      </c>
    </row>
    <row r="6" spans="1:83" x14ac:dyDescent="0.3">
      <c r="B6">
        <v>4</v>
      </c>
      <c r="C6">
        <v>23.947399999999998</v>
      </c>
      <c r="D6">
        <v>67</v>
      </c>
      <c r="E6">
        <v>95.421099999999996</v>
      </c>
      <c r="H6">
        <v>4</v>
      </c>
      <c r="I6">
        <v>29.16</v>
      </c>
      <c r="J6">
        <v>60</v>
      </c>
      <c r="K6">
        <v>98.16</v>
      </c>
      <c r="N6">
        <v>4</v>
      </c>
      <c r="O6">
        <v>28.2333</v>
      </c>
      <c r="P6">
        <v>68</v>
      </c>
      <c r="Q6">
        <v>98.7</v>
      </c>
      <c r="T6">
        <v>4</v>
      </c>
      <c r="U6">
        <v>33.1389</v>
      </c>
      <c r="V6">
        <v>77</v>
      </c>
      <c r="W6">
        <v>98.861099999999993</v>
      </c>
      <c r="Z6">
        <v>4</v>
      </c>
      <c r="AA6">
        <v>21.069800000000001</v>
      </c>
      <c r="AB6">
        <v>94</v>
      </c>
      <c r="AC6">
        <v>96.046499999999995</v>
      </c>
      <c r="AF6">
        <v>4</v>
      </c>
      <c r="AG6">
        <v>31.547599999999999</v>
      </c>
      <c r="AH6">
        <v>78</v>
      </c>
      <c r="AI6">
        <v>99.428600000000003</v>
      </c>
      <c r="AL6">
        <v>4</v>
      </c>
      <c r="AM6">
        <v>35</v>
      </c>
      <c r="AN6">
        <v>77</v>
      </c>
      <c r="AO6">
        <v>114.8929</v>
      </c>
      <c r="AR6">
        <v>4</v>
      </c>
      <c r="AS6">
        <v>26.377800000000001</v>
      </c>
      <c r="AT6">
        <v>84</v>
      </c>
      <c r="AU6">
        <v>99.444400000000002</v>
      </c>
      <c r="AX6">
        <v>4</v>
      </c>
      <c r="AY6">
        <v>29.041699999999999</v>
      </c>
      <c r="AZ6">
        <v>62</v>
      </c>
      <c r="BA6">
        <v>69.791700000000006</v>
      </c>
      <c r="BD6">
        <v>4</v>
      </c>
      <c r="BE6">
        <v>19.7667</v>
      </c>
      <c r="BF6">
        <v>59</v>
      </c>
      <c r="BG6">
        <v>66.533299999999997</v>
      </c>
      <c r="BJ6">
        <v>4</v>
      </c>
      <c r="BK6">
        <v>22.432400000000001</v>
      </c>
      <c r="BL6">
        <v>78</v>
      </c>
      <c r="BM6">
        <v>98.756799999999998</v>
      </c>
      <c r="BP6">
        <v>4</v>
      </c>
      <c r="BQ6">
        <v>29.263200000000001</v>
      </c>
      <c r="BR6">
        <v>80</v>
      </c>
      <c r="BS6">
        <v>89.552599999999998</v>
      </c>
      <c r="BV6">
        <v>4</v>
      </c>
      <c r="BW6">
        <v>25.225000000000001</v>
      </c>
      <c r="BX6">
        <v>70</v>
      </c>
      <c r="BY6">
        <v>85.375</v>
      </c>
      <c r="CB6">
        <v>4</v>
      </c>
      <c r="CC6">
        <v>22.333300000000001</v>
      </c>
      <c r="CD6">
        <v>82</v>
      </c>
      <c r="CE6">
        <v>85</v>
      </c>
    </row>
    <row r="7" spans="1:83" x14ac:dyDescent="0.3">
      <c r="B7">
        <v>5</v>
      </c>
      <c r="C7">
        <v>24.421099999999999</v>
      </c>
      <c r="D7">
        <v>68</v>
      </c>
      <c r="E7">
        <v>96.184200000000004</v>
      </c>
      <c r="H7">
        <v>5</v>
      </c>
      <c r="I7">
        <v>29.52</v>
      </c>
      <c r="J7">
        <v>61</v>
      </c>
      <c r="K7">
        <v>97.68</v>
      </c>
      <c r="N7">
        <v>5</v>
      </c>
      <c r="O7">
        <v>29.133299999999998</v>
      </c>
      <c r="P7">
        <v>69</v>
      </c>
      <c r="Q7">
        <v>98.7333</v>
      </c>
      <c r="T7">
        <v>5</v>
      </c>
      <c r="U7">
        <v>33.75</v>
      </c>
      <c r="V7">
        <v>78</v>
      </c>
      <c r="W7">
        <v>98.416700000000006</v>
      </c>
      <c r="Z7">
        <v>5</v>
      </c>
      <c r="AA7">
        <v>21.790700000000001</v>
      </c>
      <c r="AB7">
        <v>95</v>
      </c>
      <c r="AC7">
        <v>96.069800000000001</v>
      </c>
      <c r="AF7">
        <v>5</v>
      </c>
      <c r="AG7">
        <v>31.476199999999999</v>
      </c>
      <c r="AH7">
        <v>79</v>
      </c>
      <c r="AI7">
        <v>98.3095</v>
      </c>
      <c r="AL7">
        <v>5</v>
      </c>
      <c r="AM7">
        <v>35.464300000000001</v>
      </c>
      <c r="AN7">
        <v>78</v>
      </c>
      <c r="AO7">
        <v>114.1429</v>
      </c>
      <c r="AR7">
        <v>5</v>
      </c>
      <c r="AS7">
        <v>26.6</v>
      </c>
      <c r="AT7">
        <v>85</v>
      </c>
      <c r="AU7">
        <v>98.2667</v>
      </c>
      <c r="AX7">
        <v>5</v>
      </c>
      <c r="AY7">
        <v>28.916699999999999</v>
      </c>
      <c r="AZ7">
        <v>63</v>
      </c>
      <c r="BA7">
        <v>69.958299999999994</v>
      </c>
      <c r="BD7">
        <v>5</v>
      </c>
      <c r="BE7">
        <v>20.466699999999999</v>
      </c>
      <c r="BF7">
        <v>60</v>
      </c>
      <c r="BG7">
        <v>65.8</v>
      </c>
      <c r="BJ7">
        <v>5</v>
      </c>
      <c r="BK7">
        <v>23.378399999999999</v>
      </c>
      <c r="BL7">
        <v>79</v>
      </c>
      <c r="BM7">
        <v>98.8108</v>
      </c>
      <c r="BP7">
        <v>5</v>
      </c>
      <c r="BQ7">
        <v>29.5</v>
      </c>
      <c r="BR7">
        <v>81</v>
      </c>
      <c r="BS7">
        <v>88.973699999999994</v>
      </c>
      <c r="BV7">
        <v>5</v>
      </c>
      <c r="BW7">
        <v>25.8</v>
      </c>
      <c r="BX7">
        <v>71</v>
      </c>
      <c r="BY7">
        <v>85.9</v>
      </c>
      <c r="CB7">
        <v>5</v>
      </c>
      <c r="CC7">
        <v>23.8889</v>
      </c>
      <c r="CD7">
        <v>83</v>
      </c>
      <c r="CE7">
        <v>83.644400000000005</v>
      </c>
    </row>
    <row r="8" spans="1:83" x14ac:dyDescent="0.3">
      <c r="B8">
        <v>6</v>
      </c>
      <c r="C8">
        <v>24.7895</v>
      </c>
      <c r="D8">
        <v>69</v>
      </c>
      <c r="E8">
        <v>96.5</v>
      </c>
      <c r="H8">
        <v>6</v>
      </c>
      <c r="I8">
        <v>29.48</v>
      </c>
      <c r="J8">
        <v>62</v>
      </c>
      <c r="K8">
        <v>96.8</v>
      </c>
      <c r="N8">
        <v>6</v>
      </c>
      <c r="O8">
        <v>29.633299999999998</v>
      </c>
      <c r="P8">
        <v>70</v>
      </c>
      <c r="Q8">
        <v>98.9</v>
      </c>
      <c r="T8">
        <v>6</v>
      </c>
      <c r="U8">
        <v>34.305599999999998</v>
      </c>
      <c r="V8">
        <v>79</v>
      </c>
      <c r="W8">
        <v>97.972200000000001</v>
      </c>
      <c r="Z8">
        <v>6</v>
      </c>
      <c r="AA8">
        <v>23.046500000000002</v>
      </c>
      <c r="AB8">
        <v>96</v>
      </c>
      <c r="AC8">
        <v>95.697699999999998</v>
      </c>
      <c r="AF8">
        <v>6</v>
      </c>
      <c r="AG8">
        <v>31.6905</v>
      </c>
      <c r="AH8">
        <v>80</v>
      </c>
      <c r="AI8">
        <v>97.6905</v>
      </c>
      <c r="AL8">
        <v>6</v>
      </c>
      <c r="AM8">
        <v>35.964300000000001</v>
      </c>
      <c r="AN8">
        <v>79</v>
      </c>
      <c r="AO8">
        <v>112.4286</v>
      </c>
      <c r="AR8">
        <v>6</v>
      </c>
      <c r="AS8">
        <v>26.933299999999999</v>
      </c>
      <c r="AT8">
        <v>86</v>
      </c>
      <c r="AU8">
        <v>96.977800000000002</v>
      </c>
      <c r="AX8">
        <v>6</v>
      </c>
      <c r="AY8">
        <v>29</v>
      </c>
      <c r="AZ8">
        <v>64</v>
      </c>
      <c r="BA8">
        <v>70.375</v>
      </c>
      <c r="BD8">
        <v>6</v>
      </c>
      <c r="BE8">
        <v>20.966699999999999</v>
      </c>
      <c r="BF8">
        <v>61</v>
      </c>
      <c r="BG8">
        <v>64.366699999999994</v>
      </c>
      <c r="BJ8">
        <v>6</v>
      </c>
      <c r="BK8">
        <v>24.459499999999998</v>
      </c>
      <c r="BL8">
        <v>80</v>
      </c>
      <c r="BM8">
        <v>98.4054</v>
      </c>
      <c r="BP8">
        <v>6</v>
      </c>
      <c r="BQ8">
        <v>29.447399999999998</v>
      </c>
      <c r="BR8">
        <v>82</v>
      </c>
      <c r="BS8">
        <v>90.236800000000002</v>
      </c>
      <c r="BV8">
        <v>6</v>
      </c>
      <c r="BW8">
        <v>26.725000000000001</v>
      </c>
      <c r="BX8">
        <v>72</v>
      </c>
      <c r="BY8">
        <v>85.8</v>
      </c>
      <c r="CB8">
        <v>6</v>
      </c>
      <c r="CC8">
        <v>25.088899999999999</v>
      </c>
      <c r="CD8">
        <v>84</v>
      </c>
      <c r="CE8">
        <v>82.711100000000002</v>
      </c>
    </row>
    <row r="9" spans="1:83" x14ac:dyDescent="0.3">
      <c r="B9">
        <v>7</v>
      </c>
      <c r="C9">
        <v>25.3947</v>
      </c>
      <c r="D9">
        <v>70</v>
      </c>
      <c r="E9">
        <v>96.3947</v>
      </c>
      <c r="H9">
        <v>7</v>
      </c>
      <c r="I9">
        <v>29.8</v>
      </c>
      <c r="J9">
        <v>63</v>
      </c>
      <c r="K9">
        <v>95.84</v>
      </c>
      <c r="N9">
        <v>7</v>
      </c>
      <c r="O9">
        <v>30.2667</v>
      </c>
      <c r="P9">
        <v>71</v>
      </c>
      <c r="Q9">
        <v>98.8</v>
      </c>
      <c r="T9">
        <v>7</v>
      </c>
      <c r="U9">
        <v>34.583300000000001</v>
      </c>
      <c r="V9">
        <v>80</v>
      </c>
      <c r="W9">
        <v>97.694400000000002</v>
      </c>
      <c r="Z9">
        <v>7</v>
      </c>
      <c r="AA9">
        <v>24.3721</v>
      </c>
      <c r="AB9">
        <v>97</v>
      </c>
      <c r="AC9">
        <v>94.627899999999997</v>
      </c>
      <c r="AF9">
        <v>7</v>
      </c>
      <c r="AG9">
        <v>32.142899999999997</v>
      </c>
      <c r="AH9">
        <v>81</v>
      </c>
      <c r="AI9">
        <v>97.285700000000006</v>
      </c>
      <c r="AL9">
        <v>7</v>
      </c>
      <c r="AM9">
        <v>36.464300000000001</v>
      </c>
      <c r="AN9">
        <v>80</v>
      </c>
      <c r="AO9">
        <v>110.1429</v>
      </c>
      <c r="AR9">
        <v>7</v>
      </c>
      <c r="AS9">
        <v>27.533300000000001</v>
      </c>
      <c r="AT9">
        <v>87</v>
      </c>
      <c r="AU9">
        <v>95.511099999999999</v>
      </c>
      <c r="AX9">
        <v>7</v>
      </c>
      <c r="AY9">
        <v>28.958300000000001</v>
      </c>
      <c r="AZ9">
        <v>65</v>
      </c>
      <c r="BA9">
        <v>70.083299999999994</v>
      </c>
      <c r="BD9">
        <v>7</v>
      </c>
      <c r="BE9">
        <v>20.533300000000001</v>
      </c>
      <c r="BF9">
        <v>62</v>
      </c>
      <c r="BG9">
        <v>62.833300000000001</v>
      </c>
      <c r="BJ9">
        <v>7</v>
      </c>
      <c r="BK9">
        <v>25.324300000000001</v>
      </c>
      <c r="BL9">
        <v>81</v>
      </c>
      <c r="BM9">
        <v>98</v>
      </c>
      <c r="BP9">
        <v>7</v>
      </c>
      <c r="BQ9">
        <v>29.3947</v>
      </c>
      <c r="BR9">
        <v>83</v>
      </c>
      <c r="BS9">
        <v>92.184200000000004</v>
      </c>
      <c r="BV9">
        <v>7</v>
      </c>
      <c r="BW9">
        <v>27.725000000000001</v>
      </c>
      <c r="BX9">
        <v>73</v>
      </c>
      <c r="BY9">
        <v>85.65</v>
      </c>
      <c r="CB9">
        <v>7</v>
      </c>
      <c r="CC9">
        <v>25.9556</v>
      </c>
      <c r="CD9">
        <v>85</v>
      </c>
      <c r="CE9">
        <v>82.244399999999999</v>
      </c>
    </row>
    <row r="10" spans="1:83" x14ac:dyDescent="0.3">
      <c r="B10">
        <v>8</v>
      </c>
      <c r="C10">
        <v>25.6053</v>
      </c>
      <c r="D10">
        <v>71</v>
      </c>
      <c r="E10">
        <v>96.6053</v>
      </c>
      <c r="H10">
        <v>8</v>
      </c>
      <c r="I10">
        <v>30.24</v>
      </c>
      <c r="J10">
        <v>64</v>
      </c>
      <c r="K10">
        <v>94.24</v>
      </c>
      <c r="N10">
        <v>8</v>
      </c>
      <c r="O10">
        <v>30.7333</v>
      </c>
      <c r="P10">
        <v>72</v>
      </c>
      <c r="Q10">
        <v>98.666700000000006</v>
      </c>
      <c r="T10">
        <v>8</v>
      </c>
      <c r="U10">
        <v>35.555599999999998</v>
      </c>
      <c r="V10">
        <v>81</v>
      </c>
      <c r="W10">
        <v>98.083299999999994</v>
      </c>
      <c r="Z10">
        <v>8</v>
      </c>
      <c r="AA10">
        <v>25.046500000000002</v>
      </c>
      <c r="AB10">
        <v>98</v>
      </c>
      <c r="AC10">
        <v>93.255799999999994</v>
      </c>
      <c r="AF10">
        <v>8</v>
      </c>
      <c r="AG10">
        <v>32.404800000000002</v>
      </c>
      <c r="AH10">
        <v>82</v>
      </c>
      <c r="AI10">
        <v>97.261899999999997</v>
      </c>
      <c r="AL10">
        <v>8</v>
      </c>
      <c r="AM10">
        <v>37.321399999999997</v>
      </c>
      <c r="AN10">
        <v>81</v>
      </c>
      <c r="AO10">
        <v>108.25</v>
      </c>
      <c r="AR10">
        <v>8</v>
      </c>
      <c r="AS10">
        <v>27.377800000000001</v>
      </c>
      <c r="AT10">
        <v>88</v>
      </c>
      <c r="AU10">
        <v>94.444400000000002</v>
      </c>
      <c r="AX10">
        <v>8</v>
      </c>
      <c r="AY10">
        <v>30.208300000000001</v>
      </c>
      <c r="AZ10">
        <v>66</v>
      </c>
      <c r="BA10">
        <v>69.708299999999994</v>
      </c>
      <c r="BD10">
        <v>8</v>
      </c>
      <c r="BE10">
        <v>20.100000000000001</v>
      </c>
      <c r="BF10">
        <v>63</v>
      </c>
      <c r="BG10">
        <v>61.4</v>
      </c>
      <c r="BJ10">
        <v>8</v>
      </c>
      <c r="BK10">
        <v>25.567599999999999</v>
      </c>
      <c r="BL10">
        <v>82</v>
      </c>
      <c r="BM10">
        <v>97.8108</v>
      </c>
      <c r="BP10">
        <v>8</v>
      </c>
      <c r="BQ10">
        <v>29.3947</v>
      </c>
      <c r="BR10">
        <v>84</v>
      </c>
      <c r="BS10">
        <v>94</v>
      </c>
      <c r="BV10">
        <v>8</v>
      </c>
      <c r="BW10">
        <v>28.675000000000001</v>
      </c>
      <c r="BX10">
        <v>74</v>
      </c>
      <c r="BY10">
        <v>85.5</v>
      </c>
      <c r="CB10">
        <v>8</v>
      </c>
      <c r="CC10">
        <v>25.8444</v>
      </c>
      <c r="CD10">
        <v>86</v>
      </c>
      <c r="CE10">
        <v>81.933300000000003</v>
      </c>
    </row>
    <row r="11" spans="1:83" x14ac:dyDescent="0.3">
      <c r="B11">
        <v>9</v>
      </c>
      <c r="C11">
        <v>25.7895</v>
      </c>
      <c r="D11">
        <v>72</v>
      </c>
      <c r="E11">
        <v>96.973699999999994</v>
      </c>
      <c r="H11">
        <v>9</v>
      </c>
      <c r="I11">
        <v>30.88</v>
      </c>
      <c r="J11">
        <v>65</v>
      </c>
      <c r="K11">
        <v>92.48</v>
      </c>
      <c r="N11">
        <v>9</v>
      </c>
      <c r="O11">
        <v>30.9</v>
      </c>
      <c r="P11">
        <v>73</v>
      </c>
      <c r="Q11">
        <v>98.3</v>
      </c>
      <c r="T11">
        <v>9</v>
      </c>
      <c r="U11">
        <v>37</v>
      </c>
      <c r="V11">
        <v>82</v>
      </c>
      <c r="W11">
        <v>98.555599999999998</v>
      </c>
      <c r="Z11">
        <v>9</v>
      </c>
      <c r="AA11">
        <v>26.139500000000002</v>
      </c>
      <c r="AB11">
        <v>99</v>
      </c>
      <c r="AC11">
        <v>92.837199999999996</v>
      </c>
      <c r="AF11">
        <v>9</v>
      </c>
      <c r="AG11">
        <v>33.071399999999997</v>
      </c>
      <c r="AH11">
        <v>83</v>
      </c>
      <c r="AI11">
        <v>97.142899999999997</v>
      </c>
      <c r="AL11">
        <v>9</v>
      </c>
      <c r="AM11">
        <v>38.035699999999999</v>
      </c>
      <c r="AN11">
        <v>82</v>
      </c>
      <c r="AO11">
        <v>108.0714</v>
      </c>
      <c r="AR11">
        <v>9</v>
      </c>
      <c r="AS11">
        <v>27.4222</v>
      </c>
      <c r="AT11">
        <v>89</v>
      </c>
      <c r="AU11">
        <v>94.488900000000001</v>
      </c>
      <c r="AX11">
        <v>9</v>
      </c>
      <c r="AY11">
        <v>31.791699999999999</v>
      </c>
      <c r="AZ11">
        <v>67</v>
      </c>
      <c r="BA11">
        <v>69.791700000000006</v>
      </c>
      <c r="BD11">
        <v>9</v>
      </c>
      <c r="BE11">
        <v>20.2667</v>
      </c>
      <c r="BF11">
        <v>64</v>
      </c>
      <c r="BG11">
        <v>59.4</v>
      </c>
      <c r="BJ11">
        <v>9</v>
      </c>
      <c r="BK11">
        <v>26.351400000000002</v>
      </c>
      <c r="BL11">
        <v>83</v>
      </c>
      <c r="BM11">
        <v>97.378399999999999</v>
      </c>
      <c r="BP11">
        <v>9</v>
      </c>
      <c r="BQ11">
        <v>29.2895</v>
      </c>
      <c r="BR11">
        <v>85</v>
      </c>
      <c r="BS11">
        <v>94.368399999999994</v>
      </c>
      <c r="BV11">
        <v>9</v>
      </c>
      <c r="BW11">
        <v>29.1</v>
      </c>
      <c r="BX11">
        <v>75</v>
      </c>
      <c r="BY11">
        <v>85.775000000000006</v>
      </c>
      <c r="CB11">
        <v>9</v>
      </c>
      <c r="CC11">
        <v>25.622199999999999</v>
      </c>
      <c r="CD11">
        <v>87</v>
      </c>
      <c r="CE11">
        <v>81.066699999999997</v>
      </c>
    </row>
    <row r="12" spans="1:83" x14ac:dyDescent="0.3">
      <c r="B12">
        <v>10</v>
      </c>
      <c r="C12">
        <v>26.921099999999999</v>
      </c>
      <c r="D12">
        <v>73</v>
      </c>
      <c r="E12">
        <v>97.131600000000006</v>
      </c>
      <c r="H12">
        <v>10</v>
      </c>
      <c r="I12">
        <v>31.08</v>
      </c>
      <c r="J12">
        <v>66</v>
      </c>
      <c r="K12">
        <v>90.72</v>
      </c>
      <c r="N12">
        <v>10</v>
      </c>
      <c r="O12">
        <v>30.466699999999999</v>
      </c>
      <c r="P12">
        <v>74</v>
      </c>
      <c r="Q12">
        <v>97.833299999999994</v>
      </c>
      <c r="T12">
        <v>10</v>
      </c>
      <c r="U12">
        <v>38.3611</v>
      </c>
      <c r="V12">
        <v>83</v>
      </c>
      <c r="W12">
        <v>98.888900000000007</v>
      </c>
      <c r="Z12">
        <v>10</v>
      </c>
      <c r="AA12">
        <v>26.395299999999999</v>
      </c>
      <c r="AB12">
        <v>100</v>
      </c>
      <c r="AC12">
        <v>92.767399999999995</v>
      </c>
      <c r="AF12">
        <v>10</v>
      </c>
      <c r="AG12">
        <v>33.8095</v>
      </c>
      <c r="AH12">
        <v>84</v>
      </c>
      <c r="AI12">
        <v>96.714299999999994</v>
      </c>
      <c r="AL12">
        <v>10</v>
      </c>
      <c r="AM12">
        <v>39.178600000000003</v>
      </c>
      <c r="AN12">
        <v>83</v>
      </c>
      <c r="AO12">
        <v>108.3571</v>
      </c>
      <c r="AR12">
        <v>10</v>
      </c>
      <c r="AS12">
        <v>28</v>
      </c>
      <c r="AT12">
        <v>90</v>
      </c>
      <c r="AU12">
        <v>94.466700000000003</v>
      </c>
      <c r="AX12">
        <v>10</v>
      </c>
      <c r="AY12">
        <v>32.625</v>
      </c>
      <c r="AZ12">
        <v>68</v>
      </c>
      <c r="BA12">
        <v>69.333299999999994</v>
      </c>
      <c r="BD12">
        <v>10</v>
      </c>
      <c r="BE12">
        <v>20.7</v>
      </c>
      <c r="BF12">
        <v>65</v>
      </c>
      <c r="BG12">
        <v>56.633299999999998</v>
      </c>
      <c r="BJ12">
        <v>10</v>
      </c>
      <c r="BK12">
        <v>26.918900000000001</v>
      </c>
      <c r="BL12">
        <v>84</v>
      </c>
      <c r="BM12">
        <v>97.027000000000001</v>
      </c>
      <c r="BP12">
        <v>10</v>
      </c>
      <c r="BQ12">
        <v>29.552600000000002</v>
      </c>
      <c r="BR12">
        <v>86</v>
      </c>
      <c r="BS12">
        <v>93.447400000000002</v>
      </c>
      <c r="BV12">
        <v>10</v>
      </c>
      <c r="BW12">
        <v>29.55</v>
      </c>
      <c r="BX12">
        <v>76</v>
      </c>
      <c r="BY12">
        <v>86.4</v>
      </c>
      <c r="CB12">
        <v>10</v>
      </c>
      <c r="CC12">
        <v>26.355599999999999</v>
      </c>
      <c r="CD12">
        <v>88</v>
      </c>
      <c r="CE12">
        <v>80.7333</v>
      </c>
    </row>
    <row r="13" spans="1:83" x14ac:dyDescent="0.3">
      <c r="B13">
        <v>11</v>
      </c>
      <c r="C13">
        <v>29.1053</v>
      </c>
      <c r="D13">
        <v>74</v>
      </c>
      <c r="E13">
        <v>97.342100000000002</v>
      </c>
      <c r="H13">
        <v>11</v>
      </c>
      <c r="I13">
        <v>31.76</v>
      </c>
      <c r="J13">
        <v>67</v>
      </c>
      <c r="K13">
        <v>88.6</v>
      </c>
      <c r="N13">
        <v>11</v>
      </c>
      <c r="O13">
        <v>30.366700000000002</v>
      </c>
      <c r="P13">
        <v>75</v>
      </c>
      <c r="Q13">
        <v>97.666700000000006</v>
      </c>
      <c r="T13">
        <v>11</v>
      </c>
      <c r="U13">
        <v>38.333300000000001</v>
      </c>
      <c r="V13">
        <v>84</v>
      </c>
      <c r="W13">
        <v>98.638900000000007</v>
      </c>
      <c r="Z13">
        <v>11</v>
      </c>
      <c r="AA13">
        <v>26.744199999999999</v>
      </c>
      <c r="AB13">
        <v>101</v>
      </c>
      <c r="AC13">
        <v>93.2791</v>
      </c>
      <c r="AF13">
        <v>11</v>
      </c>
      <c r="AG13">
        <v>34.166699999999999</v>
      </c>
      <c r="AH13">
        <v>85</v>
      </c>
      <c r="AI13">
        <v>96.142899999999997</v>
      </c>
      <c r="AL13">
        <v>11</v>
      </c>
      <c r="AM13">
        <v>40.357100000000003</v>
      </c>
      <c r="AN13">
        <v>84</v>
      </c>
      <c r="AO13">
        <v>108.28570000000001</v>
      </c>
      <c r="AR13">
        <v>11</v>
      </c>
      <c r="AS13">
        <v>29.488900000000001</v>
      </c>
      <c r="AT13">
        <v>91</v>
      </c>
      <c r="AU13">
        <v>93.511099999999999</v>
      </c>
      <c r="AX13">
        <v>11</v>
      </c>
      <c r="AY13">
        <v>32.833300000000001</v>
      </c>
      <c r="AZ13">
        <v>69</v>
      </c>
      <c r="BA13">
        <v>68</v>
      </c>
      <c r="BD13">
        <v>11</v>
      </c>
      <c r="BE13">
        <v>21.6</v>
      </c>
      <c r="BF13">
        <v>66</v>
      </c>
      <c r="BG13">
        <v>53.933300000000003</v>
      </c>
      <c r="BJ13">
        <v>11</v>
      </c>
      <c r="BK13">
        <v>27.513500000000001</v>
      </c>
      <c r="BL13">
        <v>85</v>
      </c>
      <c r="BM13">
        <v>96.756799999999998</v>
      </c>
      <c r="BP13">
        <v>11</v>
      </c>
      <c r="BQ13">
        <v>30</v>
      </c>
      <c r="BR13">
        <v>87</v>
      </c>
      <c r="BS13">
        <v>91.947400000000002</v>
      </c>
      <c r="BV13">
        <v>11</v>
      </c>
      <c r="BW13">
        <v>30.024999999999999</v>
      </c>
      <c r="BX13">
        <v>77</v>
      </c>
      <c r="BY13">
        <v>86.9</v>
      </c>
      <c r="CB13">
        <v>11</v>
      </c>
      <c r="CC13">
        <v>27.377800000000001</v>
      </c>
      <c r="CD13">
        <v>89</v>
      </c>
      <c r="CE13">
        <v>80.022199999999998</v>
      </c>
    </row>
    <row r="14" spans="1:83" x14ac:dyDescent="0.3">
      <c r="B14">
        <v>12</v>
      </c>
      <c r="C14">
        <v>32.052599999999998</v>
      </c>
      <c r="D14">
        <v>75</v>
      </c>
      <c r="E14">
        <v>97.078900000000004</v>
      </c>
      <c r="H14">
        <v>12</v>
      </c>
      <c r="I14">
        <v>32.6</v>
      </c>
      <c r="J14">
        <v>68</v>
      </c>
      <c r="K14">
        <v>85.4</v>
      </c>
      <c r="N14">
        <v>12</v>
      </c>
      <c r="O14">
        <v>31.066700000000001</v>
      </c>
      <c r="P14">
        <v>76</v>
      </c>
      <c r="Q14">
        <v>96.7667</v>
      </c>
      <c r="T14">
        <v>12</v>
      </c>
      <c r="U14">
        <v>38.6111</v>
      </c>
      <c r="V14">
        <v>85</v>
      </c>
      <c r="W14">
        <v>98.222200000000001</v>
      </c>
      <c r="Z14">
        <v>12</v>
      </c>
      <c r="AA14">
        <v>26.744199999999999</v>
      </c>
      <c r="AB14">
        <v>102</v>
      </c>
      <c r="AC14">
        <v>92.883700000000005</v>
      </c>
      <c r="AF14">
        <v>12</v>
      </c>
      <c r="AG14">
        <v>34.761899999999997</v>
      </c>
      <c r="AH14">
        <v>86</v>
      </c>
      <c r="AI14">
        <v>95.666700000000006</v>
      </c>
      <c r="AL14">
        <v>12</v>
      </c>
      <c r="AM14">
        <v>40.75</v>
      </c>
      <c r="AN14">
        <v>85</v>
      </c>
      <c r="AO14">
        <v>108.4286</v>
      </c>
      <c r="AR14">
        <v>12</v>
      </c>
      <c r="AS14">
        <v>31.022200000000002</v>
      </c>
      <c r="AT14">
        <v>92</v>
      </c>
      <c r="AU14">
        <v>93.177800000000005</v>
      </c>
      <c r="AX14">
        <v>12</v>
      </c>
      <c r="AY14">
        <v>33.625</v>
      </c>
      <c r="AZ14">
        <v>70</v>
      </c>
      <c r="BA14">
        <v>65.708299999999994</v>
      </c>
      <c r="BD14">
        <v>12</v>
      </c>
      <c r="BE14">
        <v>22.1</v>
      </c>
      <c r="BF14">
        <v>67</v>
      </c>
      <c r="BG14">
        <v>51.833300000000001</v>
      </c>
      <c r="BJ14">
        <v>12</v>
      </c>
      <c r="BK14">
        <v>28.162199999999999</v>
      </c>
      <c r="BL14">
        <v>86</v>
      </c>
      <c r="BM14">
        <v>96.648700000000005</v>
      </c>
      <c r="BP14">
        <v>12</v>
      </c>
      <c r="BQ14">
        <v>30.552600000000002</v>
      </c>
      <c r="BR14">
        <v>88</v>
      </c>
      <c r="BS14">
        <v>89.8947</v>
      </c>
      <c r="BV14">
        <v>12</v>
      </c>
      <c r="BW14">
        <v>30.175000000000001</v>
      </c>
      <c r="BX14">
        <v>78</v>
      </c>
      <c r="BY14">
        <v>86.625</v>
      </c>
      <c r="CB14">
        <v>12</v>
      </c>
      <c r="CC14">
        <v>27.6889</v>
      </c>
      <c r="CD14">
        <v>90</v>
      </c>
      <c r="CE14">
        <v>79.177800000000005</v>
      </c>
    </row>
    <row r="15" spans="1:83" x14ac:dyDescent="0.3">
      <c r="B15">
        <v>13</v>
      </c>
      <c r="C15">
        <v>34.684199999999997</v>
      </c>
      <c r="D15">
        <v>76</v>
      </c>
      <c r="E15">
        <v>96.263199999999998</v>
      </c>
      <c r="H15">
        <v>13</v>
      </c>
      <c r="I15">
        <v>33.159999999999997</v>
      </c>
      <c r="J15">
        <v>69</v>
      </c>
      <c r="K15">
        <v>82.36</v>
      </c>
      <c r="N15">
        <v>13</v>
      </c>
      <c r="O15">
        <v>32</v>
      </c>
      <c r="P15">
        <v>77</v>
      </c>
      <c r="Q15">
        <v>95.933300000000003</v>
      </c>
      <c r="T15">
        <v>13</v>
      </c>
      <c r="U15">
        <v>39.416699999999999</v>
      </c>
      <c r="V15">
        <v>86</v>
      </c>
      <c r="W15">
        <v>97.555599999999998</v>
      </c>
      <c r="Z15">
        <v>13</v>
      </c>
      <c r="AA15">
        <v>28.255800000000001</v>
      </c>
      <c r="AB15">
        <v>103</v>
      </c>
      <c r="AC15">
        <v>91.581400000000002</v>
      </c>
      <c r="AF15">
        <v>13</v>
      </c>
      <c r="AG15">
        <v>35.904800000000002</v>
      </c>
      <c r="AH15">
        <v>87</v>
      </c>
      <c r="AI15">
        <v>94.476200000000006</v>
      </c>
      <c r="AL15">
        <v>13</v>
      </c>
      <c r="AM15">
        <v>40.928600000000003</v>
      </c>
      <c r="AN15">
        <v>86</v>
      </c>
      <c r="AO15">
        <v>108.0714</v>
      </c>
      <c r="AR15">
        <v>13</v>
      </c>
      <c r="AS15">
        <v>32.200000000000003</v>
      </c>
      <c r="AT15">
        <v>93</v>
      </c>
      <c r="AU15">
        <v>93.088899999999995</v>
      </c>
      <c r="AX15">
        <v>13</v>
      </c>
      <c r="AY15">
        <v>34.333300000000001</v>
      </c>
      <c r="AZ15">
        <v>71</v>
      </c>
      <c r="BA15">
        <v>63.083300000000001</v>
      </c>
      <c r="BD15">
        <v>13</v>
      </c>
      <c r="BE15">
        <v>22.666699999999999</v>
      </c>
      <c r="BF15">
        <v>68</v>
      </c>
      <c r="BG15">
        <v>49.966700000000003</v>
      </c>
      <c r="BJ15">
        <v>13</v>
      </c>
      <c r="BK15">
        <v>28.351400000000002</v>
      </c>
      <c r="BL15">
        <v>87</v>
      </c>
      <c r="BM15">
        <v>96.513499999999993</v>
      </c>
      <c r="BP15">
        <v>13</v>
      </c>
      <c r="BQ15">
        <v>31.5</v>
      </c>
      <c r="BR15">
        <v>89</v>
      </c>
      <c r="BS15">
        <v>88.447400000000002</v>
      </c>
      <c r="BV15">
        <v>13</v>
      </c>
      <c r="BW15">
        <v>30.8</v>
      </c>
      <c r="BX15">
        <v>79</v>
      </c>
      <c r="BY15">
        <v>86.05</v>
      </c>
      <c r="CB15">
        <v>13</v>
      </c>
      <c r="CC15">
        <v>28.0444</v>
      </c>
      <c r="CD15">
        <v>91</v>
      </c>
      <c r="CE15">
        <v>77.8</v>
      </c>
    </row>
    <row r="16" spans="1:83" x14ac:dyDescent="0.3">
      <c r="B16">
        <v>14</v>
      </c>
      <c r="C16">
        <v>36.684199999999997</v>
      </c>
      <c r="D16">
        <v>77</v>
      </c>
      <c r="E16">
        <v>94.315799999999996</v>
      </c>
      <c r="H16">
        <v>14</v>
      </c>
      <c r="I16">
        <v>33.56</v>
      </c>
      <c r="J16">
        <v>70</v>
      </c>
      <c r="K16">
        <v>79.040000000000006</v>
      </c>
      <c r="N16">
        <v>14</v>
      </c>
      <c r="O16">
        <v>32.533299999999997</v>
      </c>
      <c r="P16">
        <v>78</v>
      </c>
      <c r="Q16">
        <v>95.566699999999997</v>
      </c>
      <c r="T16">
        <v>14</v>
      </c>
      <c r="U16">
        <v>39.666699999999999</v>
      </c>
      <c r="V16">
        <v>87</v>
      </c>
      <c r="W16">
        <v>96.888900000000007</v>
      </c>
      <c r="Z16">
        <v>14</v>
      </c>
      <c r="AA16">
        <v>29.348800000000001</v>
      </c>
      <c r="AB16">
        <v>104</v>
      </c>
      <c r="AC16">
        <v>90.302300000000002</v>
      </c>
      <c r="AF16">
        <v>14</v>
      </c>
      <c r="AG16">
        <v>37.047600000000003</v>
      </c>
      <c r="AH16">
        <v>88</v>
      </c>
      <c r="AI16">
        <v>93.333299999999994</v>
      </c>
      <c r="AL16">
        <v>14</v>
      </c>
      <c r="AM16">
        <v>40.678600000000003</v>
      </c>
      <c r="AN16">
        <v>87</v>
      </c>
      <c r="AO16">
        <v>108.3929</v>
      </c>
      <c r="AR16">
        <v>14</v>
      </c>
      <c r="AS16">
        <v>32.577800000000003</v>
      </c>
      <c r="AT16">
        <v>94</v>
      </c>
      <c r="AU16">
        <v>92.6</v>
      </c>
      <c r="AX16">
        <v>14</v>
      </c>
      <c r="AY16">
        <v>35.083300000000001</v>
      </c>
      <c r="AZ16">
        <v>72</v>
      </c>
      <c r="BA16">
        <v>60.5</v>
      </c>
      <c r="BD16">
        <v>14</v>
      </c>
      <c r="BE16">
        <v>22.833300000000001</v>
      </c>
      <c r="BF16">
        <v>69</v>
      </c>
      <c r="BG16">
        <v>48.6</v>
      </c>
      <c r="BJ16">
        <v>14</v>
      </c>
      <c r="BK16">
        <v>28.8108</v>
      </c>
      <c r="BL16">
        <v>88</v>
      </c>
      <c r="BM16">
        <v>95.567599999999999</v>
      </c>
      <c r="BP16">
        <v>14</v>
      </c>
      <c r="BQ16">
        <v>32.684199999999997</v>
      </c>
      <c r="BR16">
        <v>90</v>
      </c>
      <c r="BS16">
        <v>87.078900000000004</v>
      </c>
      <c r="BV16">
        <v>14</v>
      </c>
      <c r="BW16">
        <v>31.225000000000001</v>
      </c>
      <c r="BX16">
        <v>80</v>
      </c>
      <c r="BY16">
        <v>85.5</v>
      </c>
      <c r="CB16">
        <v>14</v>
      </c>
      <c r="CC16">
        <v>29.177800000000001</v>
      </c>
      <c r="CD16">
        <v>92</v>
      </c>
      <c r="CE16">
        <v>76.177800000000005</v>
      </c>
    </row>
    <row r="17" spans="2:83" x14ac:dyDescent="0.3">
      <c r="B17">
        <v>15</v>
      </c>
      <c r="C17">
        <v>37.236800000000002</v>
      </c>
      <c r="D17">
        <v>78</v>
      </c>
      <c r="E17">
        <v>91.078900000000004</v>
      </c>
      <c r="H17">
        <v>15</v>
      </c>
      <c r="I17">
        <v>34.119999999999997</v>
      </c>
      <c r="J17">
        <v>71</v>
      </c>
      <c r="K17">
        <v>75.680000000000007</v>
      </c>
      <c r="N17">
        <v>15</v>
      </c>
      <c r="O17">
        <v>32.533299999999997</v>
      </c>
      <c r="P17">
        <v>79</v>
      </c>
      <c r="Q17">
        <v>95.4</v>
      </c>
      <c r="T17">
        <v>15</v>
      </c>
      <c r="U17">
        <v>40.305599999999998</v>
      </c>
      <c r="V17">
        <v>88</v>
      </c>
      <c r="W17">
        <v>95.833299999999994</v>
      </c>
      <c r="Z17">
        <v>15</v>
      </c>
      <c r="AA17">
        <v>29.860499999999998</v>
      </c>
      <c r="AB17">
        <v>105</v>
      </c>
      <c r="AC17">
        <v>88.697699999999998</v>
      </c>
      <c r="AF17">
        <v>15</v>
      </c>
      <c r="AG17">
        <v>37.595199999999998</v>
      </c>
      <c r="AH17">
        <v>89</v>
      </c>
      <c r="AI17">
        <v>92.285700000000006</v>
      </c>
      <c r="AL17">
        <v>15</v>
      </c>
      <c r="AM17">
        <v>40.535699999999999</v>
      </c>
      <c r="AN17">
        <v>88</v>
      </c>
      <c r="AO17">
        <v>108.28570000000001</v>
      </c>
      <c r="AR17">
        <v>15</v>
      </c>
      <c r="AS17">
        <v>32.799999999999997</v>
      </c>
      <c r="AT17">
        <v>95</v>
      </c>
      <c r="AU17">
        <v>91.8</v>
      </c>
      <c r="AX17">
        <v>15</v>
      </c>
      <c r="AY17">
        <v>34.666699999999999</v>
      </c>
      <c r="AZ17">
        <v>73</v>
      </c>
      <c r="BA17">
        <v>57.875</v>
      </c>
      <c r="BD17">
        <v>15</v>
      </c>
      <c r="BE17">
        <v>23.1</v>
      </c>
      <c r="BF17">
        <v>70</v>
      </c>
      <c r="BG17">
        <v>47.066699999999997</v>
      </c>
      <c r="BJ17">
        <v>15</v>
      </c>
      <c r="BK17">
        <v>29.270299999999999</v>
      </c>
      <c r="BL17">
        <v>89</v>
      </c>
      <c r="BM17">
        <v>94.4054</v>
      </c>
      <c r="BP17">
        <v>15</v>
      </c>
      <c r="BQ17">
        <v>34.289499999999997</v>
      </c>
      <c r="BR17">
        <v>91</v>
      </c>
      <c r="BS17">
        <v>83.815799999999996</v>
      </c>
      <c r="BV17">
        <v>15</v>
      </c>
      <c r="BW17">
        <v>31.875</v>
      </c>
      <c r="BX17">
        <v>81</v>
      </c>
      <c r="BY17">
        <v>84.9</v>
      </c>
      <c r="CB17">
        <v>15</v>
      </c>
      <c r="CC17">
        <v>30.022200000000002</v>
      </c>
      <c r="CD17">
        <v>93</v>
      </c>
      <c r="CE17">
        <v>75.044399999999996</v>
      </c>
    </row>
    <row r="18" spans="2:83" x14ac:dyDescent="0.3">
      <c r="B18">
        <v>16</v>
      </c>
      <c r="C18">
        <v>36.289499999999997</v>
      </c>
      <c r="D18">
        <v>79</v>
      </c>
      <c r="E18">
        <v>86.736800000000002</v>
      </c>
      <c r="H18">
        <v>16</v>
      </c>
      <c r="I18">
        <v>34.76</v>
      </c>
      <c r="J18">
        <v>72</v>
      </c>
      <c r="K18">
        <v>72.239999999999995</v>
      </c>
      <c r="N18">
        <v>16</v>
      </c>
      <c r="O18">
        <v>32.966700000000003</v>
      </c>
      <c r="P18">
        <v>80</v>
      </c>
      <c r="Q18">
        <v>94.4</v>
      </c>
      <c r="T18">
        <v>16</v>
      </c>
      <c r="U18">
        <v>41.527799999999999</v>
      </c>
      <c r="V18">
        <v>89</v>
      </c>
      <c r="W18">
        <v>94.527799999999999</v>
      </c>
      <c r="Z18">
        <v>16</v>
      </c>
      <c r="AA18">
        <v>30.4651</v>
      </c>
      <c r="AB18">
        <v>106</v>
      </c>
      <c r="AC18">
        <v>86.744200000000006</v>
      </c>
      <c r="AF18">
        <v>16</v>
      </c>
      <c r="AG18">
        <v>38.285699999999999</v>
      </c>
      <c r="AH18">
        <v>90</v>
      </c>
      <c r="AI18">
        <v>91.047600000000003</v>
      </c>
      <c r="AL18">
        <v>16</v>
      </c>
      <c r="AM18">
        <v>40.928600000000003</v>
      </c>
      <c r="AN18">
        <v>89</v>
      </c>
      <c r="AO18">
        <v>107.1429</v>
      </c>
      <c r="AR18">
        <v>16</v>
      </c>
      <c r="AS18">
        <v>33.2667</v>
      </c>
      <c r="AT18">
        <v>96</v>
      </c>
      <c r="AU18">
        <v>91.577799999999996</v>
      </c>
      <c r="AX18">
        <v>16</v>
      </c>
      <c r="AY18">
        <v>34.625</v>
      </c>
      <c r="AZ18">
        <v>74</v>
      </c>
      <c r="BA18">
        <v>55.666699999999999</v>
      </c>
      <c r="BD18">
        <v>16</v>
      </c>
      <c r="BE18">
        <v>23.7</v>
      </c>
      <c r="BF18">
        <v>71</v>
      </c>
      <c r="BG18">
        <v>45.4</v>
      </c>
      <c r="BJ18">
        <v>16</v>
      </c>
      <c r="BK18">
        <v>30.1892</v>
      </c>
      <c r="BL18">
        <v>90</v>
      </c>
      <c r="BM18">
        <v>93.540499999999994</v>
      </c>
      <c r="BP18">
        <v>16</v>
      </c>
      <c r="BQ18">
        <v>35.973700000000001</v>
      </c>
      <c r="BR18">
        <v>92</v>
      </c>
      <c r="BS18">
        <v>78.184200000000004</v>
      </c>
      <c r="BV18">
        <v>16</v>
      </c>
      <c r="BW18">
        <v>32.274999999999999</v>
      </c>
      <c r="BX18">
        <v>82</v>
      </c>
      <c r="BY18">
        <v>84.75</v>
      </c>
      <c r="CB18">
        <v>16</v>
      </c>
      <c r="CC18">
        <v>30.466699999999999</v>
      </c>
      <c r="CD18">
        <v>94</v>
      </c>
      <c r="CE18">
        <v>74.288899999999998</v>
      </c>
    </row>
    <row r="19" spans="2:83" x14ac:dyDescent="0.3">
      <c r="B19">
        <v>17</v>
      </c>
      <c r="C19">
        <v>34.684199999999997</v>
      </c>
      <c r="D19">
        <v>80</v>
      </c>
      <c r="E19">
        <v>82.6053</v>
      </c>
      <c r="H19">
        <v>17</v>
      </c>
      <c r="I19">
        <v>35.76</v>
      </c>
      <c r="J19">
        <v>73</v>
      </c>
      <c r="K19">
        <v>69.239999999999995</v>
      </c>
      <c r="N19">
        <v>17</v>
      </c>
      <c r="O19">
        <v>34.700000000000003</v>
      </c>
      <c r="P19">
        <v>81</v>
      </c>
      <c r="Q19">
        <v>92.433300000000003</v>
      </c>
      <c r="T19">
        <v>17</v>
      </c>
      <c r="U19">
        <v>43.055599999999998</v>
      </c>
      <c r="V19">
        <v>90</v>
      </c>
      <c r="W19">
        <v>92.361099999999993</v>
      </c>
      <c r="Z19">
        <v>17</v>
      </c>
      <c r="AA19">
        <v>31.4651</v>
      </c>
      <c r="AB19">
        <v>107</v>
      </c>
      <c r="AC19">
        <v>84.348799999999997</v>
      </c>
      <c r="AF19">
        <v>17</v>
      </c>
      <c r="AG19">
        <v>38.5</v>
      </c>
      <c r="AH19">
        <v>91</v>
      </c>
      <c r="AI19">
        <v>88.952399999999997</v>
      </c>
      <c r="AL19">
        <v>17</v>
      </c>
      <c r="AM19">
        <v>41.75</v>
      </c>
      <c r="AN19">
        <v>90</v>
      </c>
      <c r="AO19">
        <v>106</v>
      </c>
      <c r="AR19">
        <v>17</v>
      </c>
      <c r="AS19">
        <v>34.022199999999998</v>
      </c>
      <c r="AT19">
        <v>97</v>
      </c>
      <c r="AU19">
        <v>91.155600000000007</v>
      </c>
      <c r="AX19">
        <v>17</v>
      </c>
      <c r="AY19">
        <v>35.125</v>
      </c>
      <c r="AZ19">
        <v>75</v>
      </c>
      <c r="BA19">
        <v>53.166699999999999</v>
      </c>
      <c r="BD19">
        <v>17</v>
      </c>
      <c r="BE19">
        <v>24.2667</v>
      </c>
      <c r="BF19">
        <v>72</v>
      </c>
      <c r="BG19">
        <v>43.466700000000003</v>
      </c>
      <c r="BJ19">
        <v>17</v>
      </c>
      <c r="BK19">
        <v>31.162199999999999</v>
      </c>
      <c r="BL19">
        <v>91</v>
      </c>
      <c r="BM19">
        <v>92.729699999999994</v>
      </c>
      <c r="BP19">
        <v>17</v>
      </c>
      <c r="BQ19">
        <v>37.315800000000003</v>
      </c>
      <c r="BR19">
        <v>93</v>
      </c>
      <c r="BS19">
        <v>73.3947</v>
      </c>
      <c r="BV19">
        <v>17</v>
      </c>
      <c r="BW19">
        <v>32.524999999999999</v>
      </c>
      <c r="BX19">
        <v>83</v>
      </c>
      <c r="BY19">
        <v>84.775000000000006</v>
      </c>
      <c r="CB19">
        <v>17</v>
      </c>
      <c r="CC19">
        <v>31.4</v>
      </c>
      <c r="CD19">
        <v>95</v>
      </c>
      <c r="CE19">
        <v>73.244399999999999</v>
      </c>
    </row>
    <row r="20" spans="2:83" x14ac:dyDescent="0.3">
      <c r="B20">
        <v>18</v>
      </c>
      <c r="C20">
        <v>33.710500000000003</v>
      </c>
      <c r="D20">
        <v>81</v>
      </c>
      <c r="E20">
        <v>79.868399999999994</v>
      </c>
      <c r="H20">
        <v>18</v>
      </c>
      <c r="I20">
        <v>36.64</v>
      </c>
      <c r="J20">
        <v>74</v>
      </c>
      <c r="K20">
        <v>67.239999999999995</v>
      </c>
      <c r="N20">
        <v>18</v>
      </c>
      <c r="O20">
        <v>36.633299999999998</v>
      </c>
      <c r="P20">
        <v>82</v>
      </c>
      <c r="Q20">
        <v>91.7</v>
      </c>
      <c r="T20">
        <v>18</v>
      </c>
      <c r="U20">
        <v>44.1111</v>
      </c>
      <c r="V20">
        <v>91</v>
      </c>
      <c r="W20">
        <v>88.361099999999993</v>
      </c>
      <c r="Z20">
        <v>18</v>
      </c>
      <c r="AA20">
        <v>32.418599999999998</v>
      </c>
      <c r="AB20">
        <v>108</v>
      </c>
      <c r="AC20">
        <v>82.069800000000001</v>
      </c>
      <c r="AF20">
        <v>18</v>
      </c>
      <c r="AG20">
        <v>39.214300000000001</v>
      </c>
      <c r="AH20">
        <v>92</v>
      </c>
      <c r="AI20">
        <v>86.3095</v>
      </c>
      <c r="AL20">
        <v>18</v>
      </c>
      <c r="AM20">
        <v>42.642899999999997</v>
      </c>
      <c r="AN20">
        <v>91</v>
      </c>
      <c r="AO20">
        <v>105.53570000000001</v>
      </c>
      <c r="AR20">
        <v>18</v>
      </c>
      <c r="AS20">
        <v>34.866700000000002</v>
      </c>
      <c r="AT20">
        <v>98</v>
      </c>
      <c r="AU20">
        <v>90.444400000000002</v>
      </c>
      <c r="AX20">
        <v>18</v>
      </c>
      <c r="AY20">
        <v>35.875</v>
      </c>
      <c r="AZ20">
        <v>76</v>
      </c>
      <c r="BA20">
        <v>50.625</v>
      </c>
      <c r="BD20">
        <v>18</v>
      </c>
      <c r="BE20">
        <v>24.633299999999998</v>
      </c>
      <c r="BF20">
        <v>73</v>
      </c>
      <c r="BG20">
        <v>41.033299999999997</v>
      </c>
      <c r="BJ20">
        <v>18</v>
      </c>
      <c r="BK20">
        <v>32.216200000000001</v>
      </c>
      <c r="BL20">
        <v>92</v>
      </c>
      <c r="BM20">
        <v>92.243200000000002</v>
      </c>
      <c r="BP20">
        <v>18</v>
      </c>
      <c r="BQ20">
        <v>38.026299999999999</v>
      </c>
      <c r="BR20">
        <v>94</v>
      </c>
      <c r="BS20">
        <v>71.157899999999998</v>
      </c>
      <c r="BV20">
        <v>18</v>
      </c>
      <c r="BW20">
        <v>32.924999999999997</v>
      </c>
      <c r="BX20">
        <v>84</v>
      </c>
      <c r="BY20">
        <v>83.825000000000003</v>
      </c>
      <c r="CB20">
        <v>18</v>
      </c>
      <c r="CC20">
        <v>32.955599999999997</v>
      </c>
      <c r="CD20">
        <v>96</v>
      </c>
      <c r="CE20">
        <v>71.822199999999995</v>
      </c>
    </row>
    <row r="21" spans="2:83" x14ac:dyDescent="0.3">
      <c r="B21">
        <v>19</v>
      </c>
      <c r="C21">
        <v>33.815800000000003</v>
      </c>
      <c r="D21">
        <v>82</v>
      </c>
      <c r="E21">
        <v>79.368399999999994</v>
      </c>
      <c r="H21">
        <v>19</v>
      </c>
      <c r="I21">
        <v>37.96</v>
      </c>
      <c r="J21">
        <v>75</v>
      </c>
      <c r="K21">
        <v>66</v>
      </c>
      <c r="N21">
        <v>19</v>
      </c>
      <c r="O21">
        <v>37.799999999999997</v>
      </c>
      <c r="P21">
        <v>83</v>
      </c>
      <c r="Q21">
        <v>90.6</v>
      </c>
      <c r="T21">
        <v>19</v>
      </c>
      <c r="U21">
        <v>44.3889</v>
      </c>
      <c r="V21">
        <v>92</v>
      </c>
      <c r="W21">
        <v>82.5</v>
      </c>
      <c r="Z21">
        <v>19</v>
      </c>
      <c r="AA21">
        <v>33.4651</v>
      </c>
      <c r="AB21">
        <v>109</v>
      </c>
      <c r="AC21">
        <v>80.790700000000001</v>
      </c>
      <c r="AF21">
        <v>19</v>
      </c>
      <c r="AG21">
        <v>40.928600000000003</v>
      </c>
      <c r="AH21">
        <v>93</v>
      </c>
      <c r="AI21">
        <v>83.5</v>
      </c>
      <c r="AL21">
        <v>19</v>
      </c>
      <c r="AM21">
        <v>43.5</v>
      </c>
      <c r="AN21">
        <v>92</v>
      </c>
      <c r="AO21">
        <v>104.0714</v>
      </c>
      <c r="AR21">
        <v>19</v>
      </c>
      <c r="AS21">
        <v>36.066699999999997</v>
      </c>
      <c r="AT21">
        <v>99</v>
      </c>
      <c r="AU21">
        <v>90.377799999999993</v>
      </c>
      <c r="AX21">
        <v>19</v>
      </c>
      <c r="AY21">
        <v>36.75</v>
      </c>
      <c r="AZ21">
        <v>77</v>
      </c>
      <c r="BA21">
        <v>48.791699999999999</v>
      </c>
      <c r="BD21">
        <v>19</v>
      </c>
      <c r="BE21">
        <v>24.533300000000001</v>
      </c>
      <c r="BF21">
        <v>74</v>
      </c>
      <c r="BG21">
        <v>38.1</v>
      </c>
      <c r="BJ21">
        <v>19</v>
      </c>
      <c r="BK21">
        <v>32.8919</v>
      </c>
      <c r="BL21">
        <v>93</v>
      </c>
      <c r="BM21">
        <v>91.5946</v>
      </c>
      <c r="BP21">
        <v>19</v>
      </c>
      <c r="BQ21">
        <v>38.447400000000002</v>
      </c>
      <c r="BR21">
        <v>95</v>
      </c>
      <c r="BS21">
        <v>68.921099999999996</v>
      </c>
      <c r="BV21">
        <v>19</v>
      </c>
      <c r="BW21">
        <v>33.325000000000003</v>
      </c>
      <c r="BX21">
        <v>85</v>
      </c>
      <c r="BY21">
        <v>82.05</v>
      </c>
      <c r="CB21">
        <v>19</v>
      </c>
      <c r="CC21">
        <v>34.4</v>
      </c>
      <c r="CD21">
        <v>97</v>
      </c>
      <c r="CE21">
        <v>70.2667</v>
      </c>
    </row>
    <row r="22" spans="2:83" x14ac:dyDescent="0.3">
      <c r="B22">
        <v>20</v>
      </c>
      <c r="C22">
        <v>33.447400000000002</v>
      </c>
      <c r="D22">
        <v>83</v>
      </c>
      <c r="E22">
        <v>81.131600000000006</v>
      </c>
      <c r="H22">
        <v>20</v>
      </c>
      <c r="I22">
        <v>39.92</v>
      </c>
      <c r="J22">
        <v>76</v>
      </c>
      <c r="K22">
        <v>64.48</v>
      </c>
      <c r="N22">
        <v>20</v>
      </c>
      <c r="O22">
        <v>38.2667</v>
      </c>
      <c r="P22">
        <v>84</v>
      </c>
      <c r="Q22">
        <v>88.533299999999997</v>
      </c>
      <c r="T22">
        <v>20</v>
      </c>
      <c r="U22">
        <v>44.555599999999998</v>
      </c>
      <c r="V22">
        <v>93</v>
      </c>
      <c r="W22">
        <v>75.833299999999994</v>
      </c>
      <c r="Z22">
        <v>20</v>
      </c>
      <c r="AA22">
        <v>35</v>
      </c>
      <c r="AB22">
        <v>110</v>
      </c>
      <c r="AC22">
        <v>77.697699999999998</v>
      </c>
      <c r="AF22">
        <v>20</v>
      </c>
      <c r="AG22">
        <v>42.857100000000003</v>
      </c>
      <c r="AH22">
        <v>94</v>
      </c>
      <c r="AI22">
        <v>81</v>
      </c>
      <c r="AL22">
        <v>20</v>
      </c>
      <c r="AM22">
        <v>45.142899999999997</v>
      </c>
      <c r="AN22">
        <v>93</v>
      </c>
      <c r="AO22">
        <v>102.6429</v>
      </c>
      <c r="AR22">
        <v>20</v>
      </c>
      <c r="AS22">
        <v>37.666699999999999</v>
      </c>
      <c r="AT22">
        <v>100</v>
      </c>
      <c r="AU22">
        <v>90.133300000000006</v>
      </c>
      <c r="AX22">
        <v>20</v>
      </c>
      <c r="AY22">
        <v>37.375</v>
      </c>
      <c r="AZ22">
        <v>78</v>
      </c>
      <c r="BA22">
        <v>48.25</v>
      </c>
      <c r="BD22">
        <v>20</v>
      </c>
      <c r="BE22">
        <v>24.933299999999999</v>
      </c>
      <c r="BF22">
        <v>75</v>
      </c>
      <c r="BG22">
        <v>35.2667</v>
      </c>
      <c r="BJ22">
        <v>20</v>
      </c>
      <c r="BK22">
        <v>33.7027</v>
      </c>
      <c r="BL22">
        <v>94</v>
      </c>
      <c r="BM22">
        <v>90.324299999999994</v>
      </c>
      <c r="BP22">
        <v>20</v>
      </c>
      <c r="BQ22">
        <v>38.947400000000002</v>
      </c>
      <c r="BR22">
        <v>96</v>
      </c>
      <c r="BS22">
        <v>66.078900000000004</v>
      </c>
      <c r="BV22">
        <v>20</v>
      </c>
      <c r="BW22">
        <v>33.75</v>
      </c>
      <c r="BX22">
        <v>86</v>
      </c>
      <c r="BY22">
        <v>79.5</v>
      </c>
      <c r="CB22">
        <v>20</v>
      </c>
      <c r="CC22">
        <v>35.4</v>
      </c>
      <c r="CD22">
        <v>98</v>
      </c>
      <c r="CE22">
        <v>68.7333</v>
      </c>
    </row>
    <row r="23" spans="2:83" x14ac:dyDescent="0.3">
      <c r="B23">
        <v>21</v>
      </c>
      <c r="C23">
        <v>34.526299999999999</v>
      </c>
      <c r="D23">
        <v>84</v>
      </c>
      <c r="E23">
        <v>81.684200000000004</v>
      </c>
      <c r="H23">
        <v>21</v>
      </c>
      <c r="I23">
        <v>41.52</v>
      </c>
      <c r="J23">
        <v>77</v>
      </c>
      <c r="K23">
        <v>61.8</v>
      </c>
      <c r="N23">
        <v>21</v>
      </c>
      <c r="O23">
        <v>38.933300000000003</v>
      </c>
      <c r="P23">
        <v>85</v>
      </c>
      <c r="Q23">
        <v>85.7667</v>
      </c>
      <c r="T23">
        <v>21</v>
      </c>
      <c r="U23">
        <v>45.3889</v>
      </c>
      <c r="V23">
        <v>94</v>
      </c>
      <c r="W23">
        <v>70.138900000000007</v>
      </c>
      <c r="Z23">
        <v>21</v>
      </c>
      <c r="AA23">
        <v>36.162799999999997</v>
      </c>
      <c r="AB23">
        <v>111</v>
      </c>
      <c r="AC23">
        <v>75.465100000000007</v>
      </c>
      <c r="AF23">
        <v>21</v>
      </c>
      <c r="AG23">
        <v>43.5</v>
      </c>
      <c r="AH23">
        <v>95</v>
      </c>
      <c r="AI23">
        <v>78.785700000000006</v>
      </c>
      <c r="AL23">
        <v>21</v>
      </c>
      <c r="AM23">
        <v>47.107100000000003</v>
      </c>
      <c r="AN23">
        <v>94</v>
      </c>
      <c r="AO23">
        <v>102.1429</v>
      </c>
      <c r="AR23">
        <v>21</v>
      </c>
      <c r="AS23">
        <v>39.799999999999997</v>
      </c>
      <c r="AT23">
        <v>101</v>
      </c>
      <c r="AU23">
        <v>88.866699999999994</v>
      </c>
      <c r="AX23">
        <v>21</v>
      </c>
      <c r="AY23">
        <v>37.708300000000001</v>
      </c>
      <c r="AZ23">
        <v>79</v>
      </c>
      <c r="BA23">
        <v>47.041699999999999</v>
      </c>
      <c r="BD23">
        <v>21</v>
      </c>
      <c r="BE23">
        <v>25.533300000000001</v>
      </c>
      <c r="BF23">
        <v>76</v>
      </c>
      <c r="BG23">
        <v>33.1</v>
      </c>
      <c r="BJ23">
        <v>21</v>
      </c>
      <c r="BK23">
        <v>34.567599999999999</v>
      </c>
      <c r="BL23">
        <v>95</v>
      </c>
      <c r="BM23">
        <v>87.243200000000002</v>
      </c>
      <c r="BP23">
        <v>21</v>
      </c>
      <c r="BQ23">
        <v>40.184199999999997</v>
      </c>
      <c r="BR23">
        <v>97</v>
      </c>
      <c r="BS23">
        <v>63.763199999999998</v>
      </c>
      <c r="BV23">
        <v>21</v>
      </c>
      <c r="BW23">
        <v>34.9</v>
      </c>
      <c r="BX23">
        <v>87</v>
      </c>
      <c r="BY23">
        <v>76.625</v>
      </c>
      <c r="CB23">
        <v>21</v>
      </c>
      <c r="CC23">
        <v>36.200000000000003</v>
      </c>
      <c r="CD23">
        <v>99</v>
      </c>
      <c r="CE23">
        <v>66.866699999999994</v>
      </c>
    </row>
    <row r="24" spans="2:83" x14ac:dyDescent="0.3">
      <c r="B24">
        <v>22</v>
      </c>
      <c r="C24">
        <v>39.052599999999998</v>
      </c>
      <c r="D24">
        <v>85</v>
      </c>
      <c r="E24">
        <v>80.052599999999998</v>
      </c>
      <c r="H24">
        <v>22</v>
      </c>
      <c r="I24">
        <v>43.36</v>
      </c>
      <c r="J24">
        <v>78</v>
      </c>
      <c r="K24">
        <v>58.56</v>
      </c>
      <c r="N24">
        <v>22</v>
      </c>
      <c r="O24">
        <v>38.9</v>
      </c>
      <c r="P24">
        <v>86</v>
      </c>
      <c r="Q24">
        <v>82.666700000000006</v>
      </c>
      <c r="T24">
        <v>22</v>
      </c>
      <c r="U24">
        <v>46.6111</v>
      </c>
      <c r="V24">
        <v>95</v>
      </c>
      <c r="W24">
        <v>65.75</v>
      </c>
      <c r="Z24">
        <v>22</v>
      </c>
      <c r="AA24">
        <v>38.604700000000001</v>
      </c>
      <c r="AB24">
        <v>112</v>
      </c>
      <c r="AC24">
        <v>73.976699999999994</v>
      </c>
      <c r="AF24">
        <v>22</v>
      </c>
      <c r="AG24">
        <v>44.142899999999997</v>
      </c>
      <c r="AH24">
        <v>96</v>
      </c>
      <c r="AI24">
        <v>76.428600000000003</v>
      </c>
      <c r="AL24">
        <v>22</v>
      </c>
      <c r="AM24">
        <v>48.535699999999999</v>
      </c>
      <c r="AN24">
        <v>95</v>
      </c>
      <c r="AO24">
        <v>101.6429</v>
      </c>
      <c r="AR24">
        <v>22</v>
      </c>
      <c r="AS24">
        <v>41.7333</v>
      </c>
      <c r="AT24">
        <v>102</v>
      </c>
      <c r="AU24">
        <v>87.444400000000002</v>
      </c>
      <c r="AX24">
        <v>22</v>
      </c>
      <c r="AY24">
        <v>37.458300000000001</v>
      </c>
      <c r="AZ24">
        <v>80</v>
      </c>
      <c r="BA24">
        <v>46.333300000000001</v>
      </c>
      <c r="BD24">
        <v>22</v>
      </c>
      <c r="BE24">
        <v>26.2</v>
      </c>
      <c r="BF24">
        <v>77</v>
      </c>
      <c r="BG24">
        <v>31.566700000000001</v>
      </c>
      <c r="BJ24">
        <v>22</v>
      </c>
      <c r="BK24">
        <v>35.8108</v>
      </c>
      <c r="BL24">
        <v>96</v>
      </c>
      <c r="BM24">
        <v>82.297300000000007</v>
      </c>
      <c r="BP24">
        <v>22</v>
      </c>
      <c r="BQ24">
        <v>41.184199999999997</v>
      </c>
      <c r="BR24">
        <v>98</v>
      </c>
      <c r="BS24">
        <v>63.657899999999998</v>
      </c>
      <c r="BV24">
        <v>22</v>
      </c>
      <c r="BW24">
        <v>36.774999999999999</v>
      </c>
      <c r="BX24">
        <v>88</v>
      </c>
      <c r="BY24">
        <v>74.125</v>
      </c>
      <c r="CB24">
        <v>22</v>
      </c>
      <c r="CC24">
        <v>37.044400000000003</v>
      </c>
      <c r="CD24">
        <v>100</v>
      </c>
      <c r="CE24">
        <v>65.2667</v>
      </c>
    </row>
    <row r="25" spans="2:83" x14ac:dyDescent="0.3">
      <c r="B25">
        <v>23</v>
      </c>
      <c r="C25">
        <v>44.631599999999999</v>
      </c>
      <c r="D25">
        <v>86</v>
      </c>
      <c r="E25">
        <v>78</v>
      </c>
      <c r="H25">
        <v>23</v>
      </c>
      <c r="I25">
        <v>45.08</v>
      </c>
      <c r="J25">
        <v>79</v>
      </c>
      <c r="K25">
        <v>55.6</v>
      </c>
      <c r="N25">
        <v>23</v>
      </c>
      <c r="O25">
        <v>40.333300000000001</v>
      </c>
      <c r="P25">
        <v>87</v>
      </c>
      <c r="Q25">
        <v>78.933300000000003</v>
      </c>
      <c r="T25">
        <v>23</v>
      </c>
      <c r="U25">
        <v>47.333300000000001</v>
      </c>
      <c r="V25">
        <v>96</v>
      </c>
      <c r="W25">
        <v>62.5</v>
      </c>
      <c r="Z25">
        <v>23</v>
      </c>
      <c r="AA25">
        <v>40.883699999999997</v>
      </c>
      <c r="AB25">
        <v>113</v>
      </c>
      <c r="AC25">
        <v>71.976699999999994</v>
      </c>
      <c r="AF25">
        <v>23</v>
      </c>
      <c r="AG25">
        <v>45.476199999999999</v>
      </c>
      <c r="AH25">
        <v>97</v>
      </c>
      <c r="AI25">
        <v>73.452399999999997</v>
      </c>
      <c r="AL25">
        <v>23</v>
      </c>
      <c r="AM25">
        <v>49.428600000000003</v>
      </c>
      <c r="AN25">
        <v>96</v>
      </c>
      <c r="AO25">
        <v>101.75</v>
      </c>
      <c r="AR25">
        <v>23</v>
      </c>
      <c r="AS25">
        <v>42.8444</v>
      </c>
      <c r="AT25">
        <v>103</v>
      </c>
      <c r="AU25">
        <v>86.444400000000002</v>
      </c>
      <c r="AX25">
        <v>23</v>
      </c>
      <c r="AY25">
        <v>37.416699999999999</v>
      </c>
      <c r="AZ25">
        <v>81</v>
      </c>
      <c r="BA25">
        <v>45.166699999999999</v>
      </c>
      <c r="BD25">
        <v>23</v>
      </c>
      <c r="BE25">
        <v>27.166699999999999</v>
      </c>
      <c r="BF25">
        <v>78</v>
      </c>
      <c r="BG25">
        <v>30.7667</v>
      </c>
      <c r="BJ25">
        <v>23</v>
      </c>
      <c r="BK25">
        <v>37.351399999999998</v>
      </c>
      <c r="BL25">
        <v>97</v>
      </c>
      <c r="BM25">
        <v>76.324299999999994</v>
      </c>
      <c r="BP25">
        <v>23</v>
      </c>
      <c r="BQ25">
        <v>41.789499999999997</v>
      </c>
      <c r="BR25">
        <v>99</v>
      </c>
      <c r="BS25">
        <v>63.868400000000001</v>
      </c>
      <c r="BV25">
        <v>23</v>
      </c>
      <c r="BW25">
        <v>38.125</v>
      </c>
      <c r="BX25">
        <v>89</v>
      </c>
      <c r="BY25">
        <v>71.45</v>
      </c>
      <c r="CB25">
        <v>23</v>
      </c>
      <c r="CC25">
        <v>37.666699999999999</v>
      </c>
      <c r="CD25">
        <v>101</v>
      </c>
      <c r="CE25">
        <v>63.822200000000002</v>
      </c>
    </row>
    <row r="26" spans="2:83" x14ac:dyDescent="0.3">
      <c r="B26">
        <v>24</v>
      </c>
      <c r="C26">
        <v>49.578899999999997</v>
      </c>
      <c r="D26">
        <v>87</v>
      </c>
      <c r="E26">
        <v>75.684200000000004</v>
      </c>
      <c r="H26">
        <v>24</v>
      </c>
      <c r="I26">
        <v>47.52</v>
      </c>
      <c r="J26">
        <v>80</v>
      </c>
      <c r="K26">
        <v>53.12</v>
      </c>
      <c r="N26">
        <v>24</v>
      </c>
      <c r="O26">
        <v>41.8</v>
      </c>
      <c r="P26">
        <v>88</v>
      </c>
      <c r="Q26">
        <v>74.866699999999994</v>
      </c>
      <c r="T26">
        <v>24</v>
      </c>
      <c r="U26">
        <v>47.416699999999999</v>
      </c>
      <c r="V26">
        <v>97</v>
      </c>
      <c r="W26">
        <v>60.3611</v>
      </c>
      <c r="Z26">
        <v>24</v>
      </c>
      <c r="AA26">
        <v>42</v>
      </c>
      <c r="AB26">
        <v>114</v>
      </c>
      <c r="AC26">
        <v>70.2791</v>
      </c>
      <c r="AF26">
        <v>24</v>
      </c>
      <c r="AG26">
        <v>46.166699999999999</v>
      </c>
      <c r="AH26">
        <v>98</v>
      </c>
      <c r="AI26">
        <v>71</v>
      </c>
      <c r="AL26">
        <v>24</v>
      </c>
      <c r="AM26">
        <v>49.785699999999999</v>
      </c>
      <c r="AN26">
        <v>97</v>
      </c>
      <c r="AO26">
        <v>102.1429</v>
      </c>
      <c r="AR26">
        <v>24</v>
      </c>
      <c r="AS26">
        <v>43.333300000000001</v>
      </c>
      <c r="AT26">
        <v>104</v>
      </c>
      <c r="AU26">
        <v>85.111099999999993</v>
      </c>
      <c r="AX26">
        <v>24</v>
      </c>
      <c r="AY26">
        <v>38.625</v>
      </c>
      <c r="AZ26">
        <v>82</v>
      </c>
      <c r="BA26">
        <v>43.791699999999999</v>
      </c>
      <c r="BD26">
        <v>24</v>
      </c>
      <c r="BE26">
        <v>27.933299999999999</v>
      </c>
      <c r="BF26">
        <v>79</v>
      </c>
      <c r="BG26">
        <v>30.4</v>
      </c>
      <c r="BJ26">
        <v>24</v>
      </c>
      <c r="BK26">
        <v>38.8108</v>
      </c>
      <c r="BL26">
        <v>98</v>
      </c>
      <c r="BM26">
        <v>70.972999999999999</v>
      </c>
      <c r="BP26">
        <v>24</v>
      </c>
      <c r="BQ26">
        <v>42.236800000000002</v>
      </c>
      <c r="BR26">
        <v>100</v>
      </c>
      <c r="BS26">
        <v>62.236800000000002</v>
      </c>
      <c r="BV26">
        <v>24</v>
      </c>
      <c r="BW26">
        <v>38.5</v>
      </c>
      <c r="BX26">
        <v>90</v>
      </c>
      <c r="BY26">
        <v>68.974999999999994</v>
      </c>
      <c r="CB26">
        <v>24</v>
      </c>
      <c r="CC26">
        <v>38.177799999999998</v>
      </c>
      <c r="CD26">
        <v>102</v>
      </c>
      <c r="CE26">
        <v>62.333300000000001</v>
      </c>
    </row>
    <row r="27" spans="2:83" x14ac:dyDescent="0.3">
      <c r="B27">
        <v>25</v>
      </c>
      <c r="C27">
        <v>54.368400000000001</v>
      </c>
      <c r="D27">
        <v>88</v>
      </c>
      <c r="E27">
        <v>71.342100000000002</v>
      </c>
      <c r="H27">
        <v>25</v>
      </c>
      <c r="I27">
        <v>49.8</v>
      </c>
      <c r="J27">
        <v>81</v>
      </c>
      <c r="K27">
        <v>51.08</v>
      </c>
      <c r="N27">
        <v>25</v>
      </c>
      <c r="O27">
        <v>43.2667</v>
      </c>
      <c r="P27">
        <v>89</v>
      </c>
      <c r="Q27">
        <v>70.8</v>
      </c>
      <c r="T27">
        <v>25</v>
      </c>
      <c r="U27">
        <v>47.666699999999999</v>
      </c>
      <c r="V27">
        <v>98</v>
      </c>
      <c r="W27">
        <v>58.472200000000001</v>
      </c>
      <c r="Z27">
        <v>25</v>
      </c>
      <c r="AA27">
        <v>42.860500000000002</v>
      </c>
      <c r="AB27">
        <v>115</v>
      </c>
      <c r="AC27">
        <v>69.837199999999996</v>
      </c>
      <c r="AF27">
        <v>25</v>
      </c>
      <c r="AG27">
        <v>46.523800000000001</v>
      </c>
      <c r="AH27">
        <v>99</v>
      </c>
      <c r="AI27">
        <v>69.523799999999994</v>
      </c>
      <c r="AL27">
        <v>25</v>
      </c>
      <c r="AM27">
        <v>50.285699999999999</v>
      </c>
      <c r="AN27">
        <v>98</v>
      </c>
      <c r="AO27">
        <v>103.1071</v>
      </c>
      <c r="AR27">
        <v>25</v>
      </c>
      <c r="AS27">
        <v>44.088900000000002</v>
      </c>
      <c r="AT27">
        <v>105</v>
      </c>
      <c r="AU27">
        <v>83.333299999999994</v>
      </c>
      <c r="AX27">
        <v>25</v>
      </c>
      <c r="AY27">
        <v>39.458300000000001</v>
      </c>
      <c r="AZ27">
        <v>83</v>
      </c>
      <c r="BA27">
        <v>43.083300000000001</v>
      </c>
      <c r="BD27">
        <v>25</v>
      </c>
      <c r="BE27">
        <v>29.1</v>
      </c>
      <c r="BF27">
        <v>80</v>
      </c>
      <c r="BG27">
        <v>30.133299999999998</v>
      </c>
      <c r="BJ27">
        <v>25</v>
      </c>
      <c r="BK27">
        <v>40.1081</v>
      </c>
      <c r="BL27">
        <v>99</v>
      </c>
      <c r="BM27">
        <v>67.459500000000006</v>
      </c>
      <c r="BP27">
        <v>25</v>
      </c>
      <c r="BQ27">
        <v>43.5</v>
      </c>
      <c r="BR27">
        <v>101</v>
      </c>
      <c r="BS27">
        <v>60.6053</v>
      </c>
      <c r="BV27">
        <v>25</v>
      </c>
      <c r="BW27">
        <v>38.65</v>
      </c>
      <c r="BX27">
        <v>91</v>
      </c>
      <c r="BY27">
        <v>66.7</v>
      </c>
      <c r="CB27">
        <v>25</v>
      </c>
      <c r="CC27">
        <v>39.177799999999998</v>
      </c>
      <c r="CD27">
        <v>103</v>
      </c>
      <c r="CE27">
        <v>60.666699999999999</v>
      </c>
    </row>
    <row r="28" spans="2:83" x14ac:dyDescent="0.3">
      <c r="B28">
        <v>26</v>
      </c>
      <c r="C28">
        <v>59.947400000000002</v>
      </c>
      <c r="D28">
        <v>89</v>
      </c>
      <c r="E28">
        <v>65.210499999999996</v>
      </c>
      <c r="H28">
        <v>26</v>
      </c>
      <c r="I28">
        <v>52.04</v>
      </c>
      <c r="J28">
        <v>82</v>
      </c>
      <c r="K28">
        <v>49.64</v>
      </c>
      <c r="N28">
        <v>26</v>
      </c>
      <c r="O28">
        <v>45.2333</v>
      </c>
      <c r="P28">
        <v>90</v>
      </c>
      <c r="Q28">
        <v>66.933300000000003</v>
      </c>
      <c r="T28">
        <v>26</v>
      </c>
      <c r="U28">
        <v>47.472200000000001</v>
      </c>
      <c r="V28">
        <v>99</v>
      </c>
      <c r="W28">
        <v>55.833300000000001</v>
      </c>
      <c r="Z28">
        <v>26</v>
      </c>
      <c r="AA28">
        <v>44.023299999999999</v>
      </c>
      <c r="AB28">
        <v>116</v>
      </c>
      <c r="AC28">
        <v>69.976699999999994</v>
      </c>
      <c r="AF28">
        <v>26</v>
      </c>
      <c r="AG28">
        <v>46.738100000000003</v>
      </c>
      <c r="AH28">
        <v>100</v>
      </c>
      <c r="AI28">
        <v>68.857100000000003</v>
      </c>
      <c r="AL28">
        <v>26</v>
      </c>
      <c r="AM28">
        <v>51.214300000000001</v>
      </c>
      <c r="AN28">
        <v>99</v>
      </c>
      <c r="AO28">
        <v>104.03570000000001</v>
      </c>
      <c r="AR28">
        <v>26</v>
      </c>
      <c r="AS28">
        <v>45.066699999999997</v>
      </c>
      <c r="AT28">
        <v>106</v>
      </c>
      <c r="AU28">
        <v>81.755600000000001</v>
      </c>
      <c r="AX28">
        <v>26</v>
      </c>
      <c r="AY28">
        <v>40.333300000000001</v>
      </c>
      <c r="AZ28">
        <v>84</v>
      </c>
      <c r="BA28">
        <v>42.291699999999999</v>
      </c>
      <c r="BD28">
        <v>26</v>
      </c>
      <c r="BE28">
        <v>29.566700000000001</v>
      </c>
      <c r="BF28">
        <v>81</v>
      </c>
      <c r="BG28">
        <v>29.7667</v>
      </c>
      <c r="BJ28">
        <v>26</v>
      </c>
      <c r="BK28">
        <v>41.918900000000001</v>
      </c>
      <c r="BL28">
        <v>100</v>
      </c>
      <c r="BM28">
        <v>65.054100000000005</v>
      </c>
      <c r="BP28">
        <v>26</v>
      </c>
      <c r="BQ28">
        <v>44.868400000000001</v>
      </c>
      <c r="BR28">
        <v>102</v>
      </c>
      <c r="BS28">
        <v>59.3947</v>
      </c>
      <c r="BV28">
        <v>26</v>
      </c>
      <c r="BW28">
        <v>39.524999999999999</v>
      </c>
      <c r="BX28">
        <v>92</v>
      </c>
      <c r="BY28">
        <v>65.25</v>
      </c>
      <c r="CB28">
        <v>26</v>
      </c>
      <c r="CC28">
        <v>40.1556</v>
      </c>
      <c r="CD28">
        <v>104</v>
      </c>
      <c r="CE28">
        <v>60</v>
      </c>
    </row>
    <row r="29" spans="2:83" x14ac:dyDescent="0.3">
      <c r="B29">
        <v>27</v>
      </c>
      <c r="C29">
        <v>65.315799999999996</v>
      </c>
      <c r="D29">
        <v>90</v>
      </c>
      <c r="E29">
        <v>59.789499999999997</v>
      </c>
      <c r="H29">
        <v>27</v>
      </c>
      <c r="I29">
        <v>54.08</v>
      </c>
      <c r="J29">
        <v>83</v>
      </c>
      <c r="K29">
        <v>49.2</v>
      </c>
      <c r="N29">
        <v>27</v>
      </c>
      <c r="O29">
        <v>47.5</v>
      </c>
      <c r="P29">
        <v>91</v>
      </c>
      <c r="Q29">
        <v>62.933300000000003</v>
      </c>
      <c r="T29">
        <v>27</v>
      </c>
      <c r="U29">
        <v>47.166699999999999</v>
      </c>
      <c r="V29">
        <v>100</v>
      </c>
      <c r="W29">
        <v>52.972200000000001</v>
      </c>
      <c r="Z29">
        <v>27</v>
      </c>
      <c r="AA29">
        <v>44.930199999999999</v>
      </c>
      <c r="AB29">
        <v>117</v>
      </c>
      <c r="AC29">
        <v>69.744200000000006</v>
      </c>
      <c r="AF29">
        <v>27</v>
      </c>
      <c r="AG29">
        <v>47.119</v>
      </c>
      <c r="AH29">
        <v>101</v>
      </c>
      <c r="AI29">
        <v>68.119</v>
      </c>
      <c r="AL29">
        <v>27</v>
      </c>
      <c r="AM29">
        <v>52.25</v>
      </c>
      <c r="AN29">
        <v>100</v>
      </c>
      <c r="AO29">
        <v>101.78570000000001</v>
      </c>
      <c r="AR29">
        <v>27</v>
      </c>
      <c r="AS29">
        <v>46.1111</v>
      </c>
      <c r="AT29">
        <v>107</v>
      </c>
      <c r="AU29">
        <v>80.488900000000001</v>
      </c>
      <c r="AX29">
        <v>27</v>
      </c>
      <c r="AY29">
        <v>40.791699999999999</v>
      </c>
      <c r="AZ29">
        <v>85</v>
      </c>
      <c r="BA29">
        <v>41.666699999999999</v>
      </c>
      <c r="BD29">
        <v>27</v>
      </c>
      <c r="BE29">
        <v>30.166699999999999</v>
      </c>
      <c r="BF29">
        <v>82</v>
      </c>
      <c r="BG29">
        <v>29.333300000000001</v>
      </c>
      <c r="BJ29">
        <v>27</v>
      </c>
      <c r="BK29">
        <v>43.540500000000002</v>
      </c>
      <c r="BL29">
        <v>101</v>
      </c>
      <c r="BM29">
        <v>62.135100000000001</v>
      </c>
      <c r="BP29">
        <v>27</v>
      </c>
      <c r="BQ29">
        <v>46.131599999999999</v>
      </c>
      <c r="BR29">
        <v>103</v>
      </c>
      <c r="BS29">
        <v>57.789499999999997</v>
      </c>
      <c r="BV29">
        <v>27</v>
      </c>
      <c r="BW29">
        <v>41.475000000000001</v>
      </c>
      <c r="BX29">
        <v>93</v>
      </c>
      <c r="BY29">
        <v>63.35</v>
      </c>
      <c r="CB29">
        <v>27</v>
      </c>
      <c r="CC29">
        <v>40.799999999999997</v>
      </c>
      <c r="CD29">
        <v>105</v>
      </c>
      <c r="CE29">
        <v>59.488900000000001</v>
      </c>
    </row>
    <row r="30" spans="2:83" x14ac:dyDescent="0.3">
      <c r="B30">
        <v>28</v>
      </c>
      <c r="C30">
        <v>68.026300000000006</v>
      </c>
      <c r="D30">
        <v>91</v>
      </c>
      <c r="E30">
        <v>55.8947</v>
      </c>
      <c r="H30">
        <v>28</v>
      </c>
      <c r="I30">
        <v>55.88</v>
      </c>
      <c r="J30">
        <v>84</v>
      </c>
      <c r="K30">
        <v>48.32</v>
      </c>
      <c r="N30">
        <v>28</v>
      </c>
      <c r="O30">
        <v>49.333300000000001</v>
      </c>
      <c r="P30">
        <v>92</v>
      </c>
      <c r="Q30">
        <v>57.866700000000002</v>
      </c>
      <c r="T30">
        <v>28</v>
      </c>
      <c r="U30">
        <v>46.916699999999999</v>
      </c>
      <c r="V30">
        <v>101</v>
      </c>
      <c r="W30">
        <v>52.8889</v>
      </c>
      <c r="Z30">
        <v>28</v>
      </c>
      <c r="AA30">
        <v>45.093000000000004</v>
      </c>
      <c r="AB30">
        <v>118</v>
      </c>
      <c r="AC30">
        <v>69.418599999999998</v>
      </c>
      <c r="AF30">
        <v>28</v>
      </c>
      <c r="AG30">
        <v>47.595199999999998</v>
      </c>
      <c r="AH30">
        <v>102</v>
      </c>
      <c r="AI30">
        <v>66.881</v>
      </c>
      <c r="AL30">
        <v>28</v>
      </c>
      <c r="AM30">
        <v>53.178600000000003</v>
      </c>
      <c r="AN30">
        <v>101</v>
      </c>
      <c r="AO30">
        <v>97</v>
      </c>
      <c r="AR30">
        <v>28</v>
      </c>
      <c r="AS30">
        <v>47.311100000000003</v>
      </c>
      <c r="AT30">
        <v>108</v>
      </c>
      <c r="AU30">
        <v>78.599999999999994</v>
      </c>
      <c r="AX30">
        <v>28</v>
      </c>
      <c r="AY30">
        <v>41.416699999999999</v>
      </c>
      <c r="AZ30">
        <v>86</v>
      </c>
      <c r="BA30">
        <v>41.291699999999999</v>
      </c>
      <c r="BD30">
        <v>28</v>
      </c>
      <c r="BE30">
        <v>31</v>
      </c>
      <c r="BF30">
        <v>83</v>
      </c>
      <c r="BG30">
        <v>28.566700000000001</v>
      </c>
      <c r="BJ30">
        <v>28</v>
      </c>
      <c r="BK30">
        <v>44.864899999999999</v>
      </c>
      <c r="BL30">
        <v>102</v>
      </c>
      <c r="BM30">
        <v>58.837800000000001</v>
      </c>
      <c r="BP30">
        <v>28</v>
      </c>
      <c r="BQ30">
        <v>47.131599999999999</v>
      </c>
      <c r="BR30">
        <v>104</v>
      </c>
      <c r="BS30">
        <v>55.078899999999997</v>
      </c>
      <c r="BV30">
        <v>28</v>
      </c>
      <c r="BW30">
        <v>44.024999999999999</v>
      </c>
      <c r="BX30">
        <v>94</v>
      </c>
      <c r="BY30">
        <v>61.174999999999997</v>
      </c>
      <c r="CB30">
        <v>28</v>
      </c>
      <c r="CC30">
        <v>41.8444</v>
      </c>
      <c r="CD30">
        <v>106</v>
      </c>
      <c r="CE30">
        <v>58.622199999999999</v>
      </c>
    </row>
    <row r="31" spans="2:83" x14ac:dyDescent="0.3">
      <c r="B31">
        <v>29</v>
      </c>
      <c r="C31">
        <v>66.3947</v>
      </c>
      <c r="D31">
        <v>92</v>
      </c>
      <c r="E31">
        <v>54.473700000000001</v>
      </c>
      <c r="H31">
        <v>29</v>
      </c>
      <c r="I31">
        <v>57.32</v>
      </c>
      <c r="J31">
        <v>85</v>
      </c>
      <c r="K31">
        <v>46.32</v>
      </c>
      <c r="N31">
        <v>29</v>
      </c>
      <c r="O31">
        <v>50.566699999999997</v>
      </c>
      <c r="P31">
        <v>93</v>
      </c>
      <c r="Q31">
        <v>54.033299999999997</v>
      </c>
      <c r="T31">
        <v>29</v>
      </c>
      <c r="U31">
        <v>47.083300000000001</v>
      </c>
      <c r="V31">
        <v>102</v>
      </c>
      <c r="W31">
        <v>53.055599999999998</v>
      </c>
      <c r="Z31">
        <v>29</v>
      </c>
      <c r="AA31">
        <v>45.046500000000002</v>
      </c>
      <c r="AB31">
        <v>119</v>
      </c>
      <c r="AC31">
        <v>68.581400000000002</v>
      </c>
      <c r="AF31">
        <v>29</v>
      </c>
      <c r="AG31">
        <v>47.904800000000002</v>
      </c>
      <c r="AH31">
        <v>103</v>
      </c>
      <c r="AI31">
        <v>65.142899999999997</v>
      </c>
      <c r="AL31">
        <v>29</v>
      </c>
      <c r="AM31">
        <v>53.678600000000003</v>
      </c>
      <c r="AN31">
        <v>102</v>
      </c>
      <c r="AO31">
        <v>91.571399999999997</v>
      </c>
      <c r="AR31">
        <v>29</v>
      </c>
      <c r="AS31">
        <v>49.466700000000003</v>
      </c>
      <c r="AT31">
        <v>109</v>
      </c>
      <c r="AU31">
        <v>76.2667</v>
      </c>
      <c r="AX31">
        <v>29</v>
      </c>
      <c r="AY31">
        <v>41.875</v>
      </c>
      <c r="AZ31">
        <v>87</v>
      </c>
      <c r="BA31">
        <v>41.5</v>
      </c>
      <c r="BD31">
        <v>29</v>
      </c>
      <c r="BE31">
        <v>32.299999999999997</v>
      </c>
      <c r="BF31">
        <v>84</v>
      </c>
      <c r="BG31">
        <v>28.066700000000001</v>
      </c>
      <c r="BJ31">
        <v>29</v>
      </c>
      <c r="BK31">
        <v>45.918900000000001</v>
      </c>
      <c r="BL31">
        <v>103</v>
      </c>
      <c r="BM31">
        <v>56.162199999999999</v>
      </c>
      <c r="BP31">
        <v>29</v>
      </c>
      <c r="BQ31">
        <v>47.789499999999997</v>
      </c>
      <c r="BR31">
        <v>105</v>
      </c>
      <c r="BS31">
        <v>51.710500000000003</v>
      </c>
      <c r="BV31">
        <v>29</v>
      </c>
      <c r="BW31">
        <v>46.424999999999997</v>
      </c>
      <c r="BX31">
        <v>95</v>
      </c>
      <c r="BY31">
        <v>59.05</v>
      </c>
      <c r="CB31">
        <v>29</v>
      </c>
      <c r="CC31">
        <v>43.133299999999998</v>
      </c>
      <c r="CD31">
        <v>107</v>
      </c>
      <c r="CE31">
        <v>56.955599999999997</v>
      </c>
    </row>
    <row r="32" spans="2:83" x14ac:dyDescent="0.3">
      <c r="B32">
        <v>30</v>
      </c>
      <c r="C32">
        <v>61.947400000000002</v>
      </c>
      <c r="D32">
        <v>93</v>
      </c>
      <c r="E32">
        <v>54.3947</v>
      </c>
      <c r="H32">
        <v>30</v>
      </c>
      <c r="I32">
        <v>59.24</v>
      </c>
      <c r="J32">
        <v>86</v>
      </c>
      <c r="K32">
        <v>44.36</v>
      </c>
      <c r="N32">
        <v>30</v>
      </c>
      <c r="O32">
        <v>51.4</v>
      </c>
      <c r="P32">
        <v>94</v>
      </c>
      <c r="Q32">
        <v>51.833300000000001</v>
      </c>
      <c r="T32">
        <v>30</v>
      </c>
      <c r="U32">
        <v>47.3889</v>
      </c>
      <c r="V32">
        <v>103</v>
      </c>
      <c r="W32">
        <v>52.694400000000002</v>
      </c>
      <c r="Z32">
        <v>30</v>
      </c>
      <c r="AA32">
        <v>45.162799999999997</v>
      </c>
      <c r="AB32">
        <v>120</v>
      </c>
      <c r="AC32">
        <v>67.744200000000006</v>
      </c>
      <c r="AF32">
        <v>30</v>
      </c>
      <c r="AG32">
        <v>48.642899999999997</v>
      </c>
      <c r="AH32">
        <v>104</v>
      </c>
      <c r="AI32">
        <v>64.261899999999997</v>
      </c>
      <c r="AL32">
        <v>30</v>
      </c>
      <c r="AM32">
        <v>53.821399999999997</v>
      </c>
      <c r="AN32">
        <v>103</v>
      </c>
      <c r="AO32">
        <v>87.75</v>
      </c>
      <c r="AR32">
        <v>30</v>
      </c>
      <c r="AS32">
        <v>52</v>
      </c>
      <c r="AT32">
        <v>110</v>
      </c>
      <c r="AU32">
        <v>74.155600000000007</v>
      </c>
      <c r="AX32">
        <v>30</v>
      </c>
      <c r="AY32">
        <v>42.416699999999999</v>
      </c>
      <c r="AZ32">
        <v>88</v>
      </c>
      <c r="BA32">
        <v>41.125</v>
      </c>
      <c r="BD32">
        <v>30</v>
      </c>
      <c r="BE32">
        <v>33.333300000000001</v>
      </c>
      <c r="BF32">
        <v>85</v>
      </c>
      <c r="BG32">
        <v>27.533300000000001</v>
      </c>
      <c r="BJ32">
        <v>30</v>
      </c>
      <c r="BK32">
        <v>46.783799999999999</v>
      </c>
      <c r="BL32">
        <v>104</v>
      </c>
      <c r="BM32">
        <v>54.675699999999999</v>
      </c>
      <c r="BP32">
        <v>30</v>
      </c>
      <c r="BQ32">
        <v>48.026299999999999</v>
      </c>
      <c r="BR32">
        <v>106</v>
      </c>
      <c r="BS32">
        <v>48.842100000000002</v>
      </c>
      <c r="BV32">
        <v>30</v>
      </c>
      <c r="BW32">
        <v>48.05</v>
      </c>
      <c r="BX32">
        <v>96</v>
      </c>
      <c r="BY32">
        <v>57.3</v>
      </c>
      <c r="CB32">
        <v>30</v>
      </c>
      <c r="CC32">
        <v>44.4</v>
      </c>
      <c r="CD32">
        <v>108</v>
      </c>
      <c r="CE32">
        <v>55.222200000000001</v>
      </c>
    </row>
    <row r="33" spans="2:83" x14ac:dyDescent="0.3">
      <c r="B33">
        <v>31</v>
      </c>
      <c r="C33">
        <v>58.263199999999998</v>
      </c>
      <c r="D33">
        <v>94</v>
      </c>
      <c r="E33">
        <v>55.473700000000001</v>
      </c>
      <c r="H33">
        <v>31</v>
      </c>
      <c r="I33">
        <v>61.76</v>
      </c>
      <c r="J33">
        <v>87</v>
      </c>
      <c r="K33">
        <v>42.16</v>
      </c>
      <c r="N33">
        <v>31</v>
      </c>
      <c r="O33">
        <v>52.933300000000003</v>
      </c>
      <c r="P33">
        <v>95</v>
      </c>
      <c r="Q33">
        <v>50.466700000000003</v>
      </c>
      <c r="T33">
        <v>31</v>
      </c>
      <c r="U33">
        <v>48.1111</v>
      </c>
      <c r="V33">
        <v>104</v>
      </c>
      <c r="W33">
        <v>52.277799999999999</v>
      </c>
      <c r="Z33">
        <v>31</v>
      </c>
      <c r="AA33">
        <v>45.162799999999997</v>
      </c>
      <c r="AB33">
        <v>121</v>
      </c>
      <c r="AC33">
        <v>65.7209</v>
      </c>
      <c r="AF33">
        <v>31</v>
      </c>
      <c r="AG33">
        <v>49.738100000000003</v>
      </c>
      <c r="AH33">
        <v>105</v>
      </c>
      <c r="AI33">
        <v>63.547600000000003</v>
      </c>
      <c r="AL33">
        <v>31</v>
      </c>
      <c r="AM33">
        <v>53.785699999999999</v>
      </c>
      <c r="AN33">
        <v>104</v>
      </c>
      <c r="AO33">
        <v>83.357100000000003</v>
      </c>
      <c r="AR33">
        <v>31</v>
      </c>
      <c r="AS33">
        <v>54.8</v>
      </c>
      <c r="AT33">
        <v>111</v>
      </c>
      <c r="AU33">
        <v>72.599999999999994</v>
      </c>
      <c r="AX33">
        <v>31</v>
      </c>
      <c r="AY33">
        <v>43.041699999999999</v>
      </c>
      <c r="AZ33">
        <v>89</v>
      </c>
      <c r="BA33">
        <v>41.208300000000001</v>
      </c>
      <c r="BD33">
        <v>31</v>
      </c>
      <c r="BE33">
        <v>34.7667</v>
      </c>
      <c r="BF33">
        <v>86</v>
      </c>
      <c r="BG33">
        <v>27.066700000000001</v>
      </c>
      <c r="BJ33">
        <v>31</v>
      </c>
      <c r="BK33">
        <v>47.054099999999998</v>
      </c>
      <c r="BL33">
        <v>105</v>
      </c>
      <c r="BM33">
        <v>53.540500000000002</v>
      </c>
      <c r="BP33">
        <v>31</v>
      </c>
      <c r="BQ33">
        <v>47.131599999999999</v>
      </c>
      <c r="BR33">
        <v>107</v>
      </c>
      <c r="BS33">
        <v>47.131599999999999</v>
      </c>
      <c r="BV33">
        <v>31</v>
      </c>
      <c r="BW33">
        <v>49.075000000000003</v>
      </c>
      <c r="BX33">
        <v>97</v>
      </c>
      <c r="BY33">
        <v>55.4</v>
      </c>
      <c r="CB33">
        <v>31</v>
      </c>
      <c r="CC33">
        <v>46.222200000000001</v>
      </c>
      <c r="CD33">
        <v>109</v>
      </c>
      <c r="CE33">
        <v>53.244399999999999</v>
      </c>
    </row>
    <row r="34" spans="2:83" x14ac:dyDescent="0.3">
      <c r="B34">
        <v>32</v>
      </c>
      <c r="C34">
        <v>58.342100000000002</v>
      </c>
      <c r="D34">
        <v>95</v>
      </c>
      <c r="E34">
        <v>56.078899999999997</v>
      </c>
      <c r="H34">
        <v>32</v>
      </c>
      <c r="I34">
        <v>64.56</v>
      </c>
      <c r="J34">
        <v>88</v>
      </c>
      <c r="K34">
        <v>39.799999999999997</v>
      </c>
      <c r="N34">
        <v>32</v>
      </c>
      <c r="O34">
        <v>54.866700000000002</v>
      </c>
      <c r="P34">
        <v>96</v>
      </c>
      <c r="Q34">
        <v>49.566699999999997</v>
      </c>
      <c r="T34">
        <v>32</v>
      </c>
      <c r="U34">
        <v>49</v>
      </c>
      <c r="V34">
        <v>105</v>
      </c>
      <c r="W34">
        <v>50.694400000000002</v>
      </c>
      <c r="Z34">
        <v>32</v>
      </c>
      <c r="AA34">
        <v>45.093000000000004</v>
      </c>
      <c r="AB34">
        <v>122</v>
      </c>
      <c r="AC34">
        <v>62.209299999999999</v>
      </c>
      <c r="AF34">
        <v>32</v>
      </c>
      <c r="AG34">
        <v>50.1905</v>
      </c>
      <c r="AH34">
        <v>106</v>
      </c>
      <c r="AI34">
        <v>63.071399999999997</v>
      </c>
      <c r="AL34">
        <v>32</v>
      </c>
      <c r="AM34">
        <v>53.321399999999997</v>
      </c>
      <c r="AN34">
        <v>105</v>
      </c>
      <c r="AO34">
        <v>77.178600000000003</v>
      </c>
      <c r="AR34">
        <v>32</v>
      </c>
      <c r="AS34">
        <v>57.422199999999997</v>
      </c>
      <c r="AT34">
        <v>112</v>
      </c>
      <c r="AU34">
        <v>71.533299999999997</v>
      </c>
      <c r="AX34">
        <v>32</v>
      </c>
      <c r="AY34">
        <v>44.125</v>
      </c>
      <c r="AZ34">
        <v>90</v>
      </c>
      <c r="BA34">
        <v>40.958300000000001</v>
      </c>
      <c r="BD34">
        <v>32</v>
      </c>
      <c r="BE34">
        <v>37.1</v>
      </c>
      <c r="BF34">
        <v>87</v>
      </c>
      <c r="BG34">
        <v>26.833300000000001</v>
      </c>
      <c r="BJ34">
        <v>32</v>
      </c>
      <c r="BK34">
        <v>47.324300000000001</v>
      </c>
      <c r="BL34">
        <v>106</v>
      </c>
      <c r="BM34">
        <v>51.486499999999999</v>
      </c>
      <c r="BP34">
        <v>32</v>
      </c>
      <c r="BQ34">
        <v>45.6053</v>
      </c>
      <c r="BR34">
        <v>108</v>
      </c>
      <c r="BS34">
        <v>46.210500000000003</v>
      </c>
      <c r="BV34">
        <v>32</v>
      </c>
      <c r="BW34">
        <v>49.875</v>
      </c>
      <c r="BX34">
        <v>98</v>
      </c>
      <c r="BY34">
        <v>53.6</v>
      </c>
      <c r="CB34">
        <v>32</v>
      </c>
      <c r="CC34">
        <v>48.822200000000002</v>
      </c>
      <c r="CD34">
        <v>110</v>
      </c>
      <c r="CE34">
        <v>51.4</v>
      </c>
    </row>
    <row r="35" spans="2:83" x14ac:dyDescent="0.3">
      <c r="B35">
        <v>33</v>
      </c>
      <c r="C35">
        <v>61.342100000000002</v>
      </c>
      <c r="D35">
        <v>96</v>
      </c>
      <c r="E35">
        <v>55.789499999999997</v>
      </c>
      <c r="H35">
        <v>33</v>
      </c>
      <c r="I35">
        <v>66.959999999999994</v>
      </c>
      <c r="J35">
        <v>89</v>
      </c>
      <c r="K35">
        <v>37.119999999999997</v>
      </c>
      <c r="N35">
        <v>33</v>
      </c>
      <c r="O35">
        <v>56.933300000000003</v>
      </c>
      <c r="P35">
        <v>97</v>
      </c>
      <c r="Q35">
        <v>47.966700000000003</v>
      </c>
      <c r="T35">
        <v>33</v>
      </c>
      <c r="U35">
        <v>50.277799999999999</v>
      </c>
      <c r="V35">
        <v>106</v>
      </c>
      <c r="W35">
        <v>49.444400000000002</v>
      </c>
      <c r="Z35">
        <v>33</v>
      </c>
      <c r="AA35">
        <v>44.953499999999998</v>
      </c>
      <c r="AB35">
        <v>123</v>
      </c>
      <c r="AC35">
        <v>59.744199999999999</v>
      </c>
      <c r="AF35">
        <v>33</v>
      </c>
      <c r="AG35">
        <v>50.976199999999999</v>
      </c>
      <c r="AH35">
        <v>107</v>
      </c>
      <c r="AI35">
        <v>63.476199999999999</v>
      </c>
      <c r="AL35">
        <v>33</v>
      </c>
      <c r="AM35">
        <v>53.75</v>
      </c>
      <c r="AN35">
        <v>106</v>
      </c>
      <c r="AO35">
        <v>70.25</v>
      </c>
      <c r="AR35">
        <v>33</v>
      </c>
      <c r="AS35">
        <v>59.4</v>
      </c>
      <c r="AT35">
        <v>113</v>
      </c>
      <c r="AU35">
        <v>70.755600000000001</v>
      </c>
      <c r="AX35">
        <v>33</v>
      </c>
      <c r="AY35">
        <v>46.208300000000001</v>
      </c>
      <c r="AZ35">
        <v>91</v>
      </c>
      <c r="BA35">
        <v>40.208300000000001</v>
      </c>
      <c r="BD35">
        <v>33</v>
      </c>
      <c r="BE35">
        <v>40.1</v>
      </c>
      <c r="BF35">
        <v>88</v>
      </c>
      <c r="BG35">
        <v>26.3</v>
      </c>
      <c r="BJ35">
        <v>33</v>
      </c>
      <c r="BK35">
        <v>48.4054</v>
      </c>
      <c r="BL35">
        <v>107</v>
      </c>
      <c r="BM35">
        <v>48.864899999999999</v>
      </c>
      <c r="BP35">
        <v>33</v>
      </c>
      <c r="BQ35">
        <v>43.973700000000001</v>
      </c>
      <c r="BR35">
        <v>109</v>
      </c>
      <c r="BS35">
        <v>45.315800000000003</v>
      </c>
      <c r="BV35">
        <v>33</v>
      </c>
      <c r="BW35">
        <v>50.424999999999997</v>
      </c>
      <c r="BX35">
        <v>99</v>
      </c>
      <c r="BY35">
        <v>51.625</v>
      </c>
      <c r="CB35">
        <v>33</v>
      </c>
      <c r="CC35">
        <v>51.066699999999997</v>
      </c>
      <c r="CD35">
        <v>111</v>
      </c>
      <c r="CE35">
        <v>49.822200000000002</v>
      </c>
    </row>
    <row r="36" spans="2:83" x14ac:dyDescent="0.3">
      <c r="B36">
        <v>34</v>
      </c>
      <c r="C36">
        <v>65.789500000000004</v>
      </c>
      <c r="D36">
        <v>97</v>
      </c>
      <c r="E36">
        <v>54.131599999999999</v>
      </c>
      <c r="H36">
        <v>34</v>
      </c>
      <c r="I36">
        <v>70.040000000000006</v>
      </c>
      <c r="J36">
        <v>90</v>
      </c>
      <c r="K36">
        <v>35.119999999999997</v>
      </c>
      <c r="N36">
        <v>34</v>
      </c>
      <c r="O36">
        <v>58.666699999999999</v>
      </c>
      <c r="P36">
        <v>98</v>
      </c>
      <c r="Q36">
        <v>45.366700000000002</v>
      </c>
      <c r="T36">
        <v>34</v>
      </c>
      <c r="U36">
        <v>50.694400000000002</v>
      </c>
      <c r="V36">
        <v>107</v>
      </c>
      <c r="W36">
        <v>48.833300000000001</v>
      </c>
      <c r="Z36">
        <v>34</v>
      </c>
      <c r="AA36">
        <v>44.441899999999997</v>
      </c>
      <c r="AB36">
        <v>124</v>
      </c>
      <c r="AC36">
        <v>57.7209</v>
      </c>
      <c r="AF36">
        <v>34</v>
      </c>
      <c r="AG36">
        <v>52.142899999999997</v>
      </c>
      <c r="AH36">
        <v>108</v>
      </c>
      <c r="AI36">
        <v>63.6905</v>
      </c>
      <c r="AL36">
        <v>34</v>
      </c>
      <c r="AM36">
        <v>54.857100000000003</v>
      </c>
      <c r="AN36">
        <v>107</v>
      </c>
      <c r="AO36">
        <v>65.928600000000003</v>
      </c>
      <c r="AR36">
        <v>34</v>
      </c>
      <c r="AS36">
        <v>61.222200000000001</v>
      </c>
      <c r="AT36">
        <v>114</v>
      </c>
      <c r="AU36">
        <v>69.333299999999994</v>
      </c>
      <c r="AX36">
        <v>34</v>
      </c>
      <c r="AY36">
        <v>49.541699999999999</v>
      </c>
      <c r="AZ36">
        <v>92</v>
      </c>
      <c r="BA36">
        <v>39.25</v>
      </c>
      <c r="BD36">
        <v>34</v>
      </c>
      <c r="BE36">
        <v>43</v>
      </c>
      <c r="BF36">
        <v>89</v>
      </c>
      <c r="BG36">
        <v>25.7333</v>
      </c>
      <c r="BJ36">
        <v>34</v>
      </c>
      <c r="BK36">
        <v>49.621600000000001</v>
      </c>
      <c r="BL36">
        <v>108</v>
      </c>
      <c r="BM36">
        <v>46.648600000000002</v>
      </c>
      <c r="BP36">
        <v>34</v>
      </c>
      <c r="BQ36">
        <v>43.263199999999998</v>
      </c>
      <c r="BR36">
        <v>110</v>
      </c>
      <c r="BS36">
        <v>44.289499999999997</v>
      </c>
      <c r="BV36">
        <v>34</v>
      </c>
      <c r="BW36">
        <v>51.05</v>
      </c>
      <c r="BX36">
        <v>100</v>
      </c>
      <c r="BY36">
        <v>49.725000000000001</v>
      </c>
      <c r="CB36">
        <v>34</v>
      </c>
      <c r="CC36">
        <v>52.622199999999999</v>
      </c>
      <c r="CD36">
        <v>112</v>
      </c>
      <c r="CE36">
        <v>48.577800000000003</v>
      </c>
    </row>
    <row r="37" spans="2:83" x14ac:dyDescent="0.3">
      <c r="B37">
        <v>35</v>
      </c>
      <c r="C37">
        <v>71.447400000000002</v>
      </c>
      <c r="D37">
        <v>98</v>
      </c>
      <c r="E37">
        <v>51.078899999999997</v>
      </c>
      <c r="H37">
        <v>35</v>
      </c>
      <c r="I37">
        <v>72.12</v>
      </c>
      <c r="J37">
        <v>91</v>
      </c>
      <c r="K37">
        <v>34.479999999999997</v>
      </c>
      <c r="N37">
        <v>35</v>
      </c>
      <c r="O37">
        <v>59.633299999999998</v>
      </c>
      <c r="P37">
        <v>99</v>
      </c>
      <c r="Q37">
        <v>43.2</v>
      </c>
      <c r="T37">
        <v>35</v>
      </c>
      <c r="U37">
        <v>50.8889</v>
      </c>
      <c r="V37">
        <v>108</v>
      </c>
      <c r="W37">
        <v>48.1389</v>
      </c>
      <c r="Z37">
        <v>35</v>
      </c>
      <c r="AA37">
        <v>44.116300000000003</v>
      </c>
      <c r="AB37">
        <v>125</v>
      </c>
      <c r="AC37">
        <v>55.976700000000001</v>
      </c>
      <c r="AF37">
        <v>35</v>
      </c>
      <c r="AG37">
        <v>53.214300000000001</v>
      </c>
      <c r="AH37">
        <v>109</v>
      </c>
      <c r="AI37">
        <v>62.928600000000003</v>
      </c>
      <c r="AL37">
        <v>35</v>
      </c>
      <c r="AM37">
        <v>55.821399999999997</v>
      </c>
      <c r="AN37">
        <v>108</v>
      </c>
      <c r="AO37">
        <v>64.428600000000003</v>
      </c>
      <c r="AR37">
        <v>35</v>
      </c>
      <c r="AS37">
        <v>63.1111</v>
      </c>
      <c r="AT37">
        <v>115</v>
      </c>
      <c r="AU37">
        <v>67.844399999999993</v>
      </c>
      <c r="AX37">
        <v>35</v>
      </c>
      <c r="AY37">
        <v>52.875</v>
      </c>
      <c r="AZ37">
        <v>93</v>
      </c>
      <c r="BA37">
        <v>38.25</v>
      </c>
      <c r="BD37">
        <v>35</v>
      </c>
      <c r="BE37">
        <v>45.666699999999999</v>
      </c>
      <c r="BF37">
        <v>90</v>
      </c>
      <c r="BG37">
        <v>25.1</v>
      </c>
      <c r="BJ37">
        <v>35</v>
      </c>
      <c r="BK37">
        <v>50.972999999999999</v>
      </c>
      <c r="BL37">
        <v>109</v>
      </c>
      <c r="BM37">
        <v>44.8919</v>
      </c>
      <c r="BP37">
        <v>35</v>
      </c>
      <c r="BQ37">
        <v>44.157899999999998</v>
      </c>
      <c r="BR37">
        <v>111</v>
      </c>
      <c r="BS37">
        <v>43.421100000000003</v>
      </c>
      <c r="BV37">
        <v>35</v>
      </c>
      <c r="BW37">
        <v>51.7</v>
      </c>
      <c r="BX37">
        <v>101</v>
      </c>
      <c r="BY37">
        <v>48.5</v>
      </c>
      <c r="CB37">
        <v>35</v>
      </c>
      <c r="CC37">
        <v>53.933300000000003</v>
      </c>
      <c r="CD37">
        <v>113</v>
      </c>
      <c r="CE37">
        <v>47.866700000000002</v>
      </c>
    </row>
    <row r="38" spans="2:83" x14ac:dyDescent="0.3">
      <c r="B38">
        <v>36</v>
      </c>
      <c r="C38">
        <v>77.236800000000002</v>
      </c>
      <c r="D38">
        <v>99</v>
      </c>
      <c r="E38">
        <v>47.157899999999998</v>
      </c>
      <c r="H38">
        <v>36</v>
      </c>
      <c r="I38">
        <v>74.040000000000006</v>
      </c>
      <c r="J38">
        <v>92</v>
      </c>
      <c r="K38">
        <v>34.08</v>
      </c>
      <c r="N38">
        <v>36</v>
      </c>
      <c r="O38">
        <v>59.533299999999997</v>
      </c>
      <c r="P38">
        <v>100</v>
      </c>
      <c r="Q38">
        <v>41.566699999999997</v>
      </c>
      <c r="T38">
        <v>36</v>
      </c>
      <c r="U38">
        <v>51.444400000000002</v>
      </c>
      <c r="V38">
        <v>109</v>
      </c>
      <c r="W38">
        <v>47.8611</v>
      </c>
      <c r="Z38">
        <v>36</v>
      </c>
      <c r="AA38">
        <v>43.906999999999996</v>
      </c>
      <c r="AB38">
        <v>126</v>
      </c>
      <c r="AC38">
        <v>53.883699999999997</v>
      </c>
      <c r="AF38">
        <v>36</v>
      </c>
      <c r="AG38">
        <v>53.952399999999997</v>
      </c>
      <c r="AH38">
        <v>110</v>
      </c>
      <c r="AI38">
        <v>61.785699999999999</v>
      </c>
      <c r="AL38">
        <v>36</v>
      </c>
      <c r="AM38">
        <v>56.5</v>
      </c>
      <c r="AN38">
        <v>109</v>
      </c>
      <c r="AO38">
        <v>64.142899999999997</v>
      </c>
      <c r="AR38">
        <v>36</v>
      </c>
      <c r="AS38">
        <v>64.777799999999999</v>
      </c>
      <c r="AT38">
        <v>116</v>
      </c>
      <c r="AU38">
        <v>66.555599999999998</v>
      </c>
      <c r="AX38">
        <v>36</v>
      </c>
      <c r="AY38">
        <v>54.708300000000001</v>
      </c>
      <c r="AZ38">
        <v>94</v>
      </c>
      <c r="BA38">
        <v>37.833300000000001</v>
      </c>
      <c r="BD38">
        <v>36</v>
      </c>
      <c r="BE38">
        <v>47.6</v>
      </c>
      <c r="BF38">
        <v>91</v>
      </c>
      <c r="BG38">
        <v>24.633299999999998</v>
      </c>
      <c r="BJ38">
        <v>36</v>
      </c>
      <c r="BK38">
        <v>52.8919</v>
      </c>
      <c r="BL38">
        <v>110</v>
      </c>
      <c r="BM38">
        <v>42.945900000000002</v>
      </c>
      <c r="BP38">
        <v>36</v>
      </c>
      <c r="BQ38">
        <v>45.973700000000001</v>
      </c>
      <c r="BR38">
        <v>112</v>
      </c>
      <c r="BS38">
        <v>43.157899999999998</v>
      </c>
      <c r="BV38">
        <v>36</v>
      </c>
      <c r="BW38">
        <v>52.55</v>
      </c>
      <c r="BX38">
        <v>102</v>
      </c>
      <c r="BY38">
        <v>48.174999999999997</v>
      </c>
      <c r="CB38">
        <v>36</v>
      </c>
      <c r="CC38">
        <v>56.222200000000001</v>
      </c>
      <c r="CD38">
        <v>114</v>
      </c>
      <c r="CE38">
        <v>47.177799999999998</v>
      </c>
    </row>
    <row r="39" spans="2:83" x14ac:dyDescent="0.3">
      <c r="B39">
        <v>37</v>
      </c>
      <c r="C39">
        <v>82.342100000000002</v>
      </c>
      <c r="D39">
        <v>100</v>
      </c>
      <c r="E39">
        <v>43.315800000000003</v>
      </c>
      <c r="H39">
        <v>37</v>
      </c>
      <c r="I39">
        <v>75.760000000000005</v>
      </c>
      <c r="J39">
        <v>93</v>
      </c>
      <c r="K39">
        <v>33.36</v>
      </c>
      <c r="N39">
        <v>37</v>
      </c>
      <c r="O39">
        <v>59.533299999999997</v>
      </c>
      <c r="P39">
        <v>101</v>
      </c>
      <c r="Q39">
        <v>41.7</v>
      </c>
      <c r="T39">
        <v>37</v>
      </c>
      <c r="U39">
        <v>52.444400000000002</v>
      </c>
      <c r="V39">
        <v>110</v>
      </c>
      <c r="W39">
        <v>47.5</v>
      </c>
      <c r="Z39">
        <v>37</v>
      </c>
      <c r="AA39">
        <v>44</v>
      </c>
      <c r="AB39">
        <v>127</v>
      </c>
      <c r="AC39">
        <v>51.348799999999997</v>
      </c>
      <c r="AF39">
        <v>37</v>
      </c>
      <c r="AG39">
        <v>54.547600000000003</v>
      </c>
      <c r="AH39">
        <v>111</v>
      </c>
      <c r="AI39">
        <v>59.6905</v>
      </c>
      <c r="AL39">
        <v>37</v>
      </c>
      <c r="AM39">
        <v>56.785699999999999</v>
      </c>
      <c r="AN39">
        <v>110</v>
      </c>
      <c r="AO39">
        <v>63.107100000000003</v>
      </c>
      <c r="AR39">
        <v>37</v>
      </c>
      <c r="AS39">
        <v>65.688900000000004</v>
      </c>
      <c r="AT39">
        <v>117</v>
      </c>
      <c r="AU39">
        <v>65.955600000000004</v>
      </c>
      <c r="AX39">
        <v>37</v>
      </c>
      <c r="AY39">
        <v>54.75</v>
      </c>
      <c r="AZ39">
        <v>95</v>
      </c>
      <c r="BA39">
        <v>37.5</v>
      </c>
      <c r="BD39">
        <v>37</v>
      </c>
      <c r="BE39">
        <v>47.7333</v>
      </c>
      <c r="BF39">
        <v>92</v>
      </c>
      <c r="BG39">
        <v>24.666699999999999</v>
      </c>
      <c r="BJ39">
        <v>37</v>
      </c>
      <c r="BK39">
        <v>54.837800000000001</v>
      </c>
      <c r="BL39">
        <v>111</v>
      </c>
      <c r="BM39">
        <v>41.540500000000002</v>
      </c>
      <c r="BP39">
        <v>37</v>
      </c>
      <c r="BQ39">
        <v>49.052599999999998</v>
      </c>
      <c r="BR39">
        <v>113</v>
      </c>
      <c r="BS39">
        <v>43.289499999999997</v>
      </c>
      <c r="BV39">
        <v>37</v>
      </c>
      <c r="BW39">
        <v>53.7</v>
      </c>
      <c r="BX39">
        <v>103</v>
      </c>
      <c r="BY39">
        <v>48.024999999999999</v>
      </c>
      <c r="CB39">
        <v>37</v>
      </c>
      <c r="CC39">
        <v>59</v>
      </c>
      <c r="CD39">
        <v>115</v>
      </c>
      <c r="CE39">
        <v>46.466700000000003</v>
      </c>
    </row>
    <row r="40" spans="2:83" x14ac:dyDescent="0.3">
      <c r="B40">
        <v>38</v>
      </c>
      <c r="C40">
        <v>84.842100000000002</v>
      </c>
      <c r="D40">
        <v>101</v>
      </c>
      <c r="E40">
        <v>39.3947</v>
      </c>
      <c r="H40">
        <v>38</v>
      </c>
      <c r="I40">
        <v>77.319999999999993</v>
      </c>
      <c r="J40">
        <v>94</v>
      </c>
      <c r="K40">
        <v>32.840000000000003</v>
      </c>
      <c r="N40">
        <v>38</v>
      </c>
      <c r="O40">
        <v>61.2333</v>
      </c>
      <c r="P40">
        <v>102</v>
      </c>
      <c r="Q40">
        <v>41.5</v>
      </c>
      <c r="T40">
        <v>38</v>
      </c>
      <c r="U40">
        <v>54.055599999999998</v>
      </c>
      <c r="V40">
        <v>111</v>
      </c>
      <c r="W40">
        <v>47.055599999999998</v>
      </c>
      <c r="Z40">
        <v>38</v>
      </c>
      <c r="AA40">
        <v>44.325600000000001</v>
      </c>
      <c r="AB40">
        <v>128</v>
      </c>
      <c r="AC40">
        <v>48.418599999999998</v>
      </c>
      <c r="AF40">
        <v>38</v>
      </c>
      <c r="AG40">
        <v>54.976199999999999</v>
      </c>
      <c r="AH40">
        <v>112</v>
      </c>
      <c r="AI40">
        <v>56.619</v>
      </c>
      <c r="AL40">
        <v>38</v>
      </c>
      <c r="AM40">
        <v>56.75</v>
      </c>
      <c r="AN40">
        <v>111</v>
      </c>
      <c r="AO40">
        <v>61.142899999999997</v>
      </c>
      <c r="AR40">
        <v>38</v>
      </c>
      <c r="AS40">
        <v>66.133300000000006</v>
      </c>
      <c r="AT40">
        <v>118</v>
      </c>
      <c r="AU40">
        <v>64.977800000000002</v>
      </c>
      <c r="AX40">
        <v>38</v>
      </c>
      <c r="AY40">
        <v>54.75</v>
      </c>
      <c r="AZ40">
        <v>96</v>
      </c>
      <c r="BA40">
        <v>38.166699999999999</v>
      </c>
      <c r="BD40">
        <v>38</v>
      </c>
      <c r="BE40">
        <v>48.4</v>
      </c>
      <c r="BF40">
        <v>93</v>
      </c>
      <c r="BG40">
        <v>25</v>
      </c>
      <c r="BJ40">
        <v>38</v>
      </c>
      <c r="BK40">
        <v>57.432400000000001</v>
      </c>
      <c r="BL40">
        <v>112</v>
      </c>
      <c r="BM40">
        <v>40.216200000000001</v>
      </c>
      <c r="BP40">
        <v>38</v>
      </c>
      <c r="BQ40">
        <v>52.131599999999999</v>
      </c>
      <c r="BR40">
        <v>114</v>
      </c>
      <c r="BS40">
        <v>43.184199999999997</v>
      </c>
      <c r="BV40">
        <v>38</v>
      </c>
      <c r="BW40">
        <v>55.5</v>
      </c>
      <c r="BX40">
        <v>104</v>
      </c>
      <c r="BY40">
        <v>47.05</v>
      </c>
      <c r="CB40">
        <v>38</v>
      </c>
      <c r="CC40">
        <v>60.777799999999999</v>
      </c>
      <c r="CD40">
        <v>116</v>
      </c>
      <c r="CE40">
        <v>45.355600000000003</v>
      </c>
    </row>
    <row r="41" spans="2:83" x14ac:dyDescent="0.3">
      <c r="B41">
        <v>39</v>
      </c>
      <c r="C41">
        <v>84.710499999999996</v>
      </c>
      <c r="D41">
        <v>102</v>
      </c>
      <c r="E41">
        <v>36.026299999999999</v>
      </c>
      <c r="H41">
        <v>39</v>
      </c>
      <c r="I41">
        <v>79.28</v>
      </c>
      <c r="J41">
        <v>95</v>
      </c>
      <c r="K41">
        <v>32.44</v>
      </c>
      <c r="N41">
        <v>39</v>
      </c>
      <c r="O41">
        <v>63.933300000000003</v>
      </c>
      <c r="P41">
        <v>103</v>
      </c>
      <c r="Q41">
        <v>40.633299999999998</v>
      </c>
      <c r="T41">
        <v>39</v>
      </c>
      <c r="U41">
        <v>55.25</v>
      </c>
      <c r="V41">
        <v>112</v>
      </c>
      <c r="W41">
        <v>46.055599999999998</v>
      </c>
      <c r="Z41">
        <v>39</v>
      </c>
      <c r="AA41">
        <v>44.348799999999997</v>
      </c>
      <c r="AB41">
        <v>129</v>
      </c>
      <c r="AC41">
        <v>46.302300000000002</v>
      </c>
      <c r="AF41">
        <v>39</v>
      </c>
      <c r="AG41">
        <v>55.119</v>
      </c>
      <c r="AH41">
        <v>113</v>
      </c>
      <c r="AI41">
        <v>53.857100000000003</v>
      </c>
      <c r="AL41">
        <v>39</v>
      </c>
      <c r="AM41">
        <v>56.5</v>
      </c>
      <c r="AN41">
        <v>112</v>
      </c>
      <c r="AO41">
        <v>59.642899999999997</v>
      </c>
      <c r="AR41">
        <v>39</v>
      </c>
      <c r="AS41">
        <v>65.044399999999996</v>
      </c>
      <c r="AT41">
        <v>119</v>
      </c>
      <c r="AU41">
        <v>63.022199999999998</v>
      </c>
      <c r="AX41">
        <v>39</v>
      </c>
      <c r="AY41">
        <v>56.416699999999999</v>
      </c>
      <c r="AZ41">
        <v>97</v>
      </c>
      <c r="BA41">
        <v>38.583300000000001</v>
      </c>
      <c r="BD41">
        <v>39</v>
      </c>
      <c r="BE41">
        <v>49.833300000000001</v>
      </c>
      <c r="BF41">
        <v>94</v>
      </c>
      <c r="BG41">
        <v>24.7</v>
      </c>
      <c r="BJ41">
        <v>39</v>
      </c>
      <c r="BK41">
        <v>59.621600000000001</v>
      </c>
      <c r="BL41">
        <v>113</v>
      </c>
      <c r="BM41">
        <v>39.351399999999998</v>
      </c>
      <c r="BP41">
        <v>39</v>
      </c>
      <c r="BQ41">
        <v>53.657899999999998</v>
      </c>
      <c r="BR41">
        <v>115</v>
      </c>
      <c r="BS41">
        <v>42.473700000000001</v>
      </c>
      <c r="BV41">
        <v>39</v>
      </c>
      <c r="BW41">
        <v>57.55</v>
      </c>
      <c r="BX41">
        <v>105</v>
      </c>
      <c r="BY41">
        <v>46.174999999999997</v>
      </c>
      <c r="CB41">
        <v>39</v>
      </c>
      <c r="CC41">
        <v>62.577800000000003</v>
      </c>
      <c r="CD41">
        <v>117</v>
      </c>
      <c r="CE41">
        <v>44.577800000000003</v>
      </c>
    </row>
    <row r="42" spans="2:83" x14ac:dyDescent="0.3">
      <c r="B42">
        <v>40</v>
      </c>
      <c r="C42">
        <v>82.631600000000006</v>
      </c>
      <c r="D42">
        <v>103</v>
      </c>
      <c r="E42">
        <v>33.815800000000003</v>
      </c>
      <c r="H42">
        <v>40</v>
      </c>
      <c r="I42">
        <v>80.959999999999994</v>
      </c>
      <c r="J42">
        <v>96</v>
      </c>
      <c r="K42">
        <v>32.119999999999997</v>
      </c>
      <c r="N42">
        <v>40</v>
      </c>
      <c r="O42">
        <v>66.166700000000006</v>
      </c>
      <c r="P42">
        <v>104</v>
      </c>
      <c r="Q42">
        <v>39.700000000000003</v>
      </c>
      <c r="T42">
        <v>40</v>
      </c>
      <c r="U42">
        <v>56.1389</v>
      </c>
      <c r="V42">
        <v>113</v>
      </c>
      <c r="W42">
        <v>44.8889</v>
      </c>
      <c r="Z42">
        <v>40</v>
      </c>
      <c r="AA42">
        <v>43.953499999999998</v>
      </c>
      <c r="AB42">
        <v>130</v>
      </c>
      <c r="AC42">
        <v>44.674399999999999</v>
      </c>
      <c r="AF42">
        <v>40</v>
      </c>
      <c r="AG42">
        <v>55.976199999999999</v>
      </c>
      <c r="AH42">
        <v>114</v>
      </c>
      <c r="AI42">
        <v>52.095199999999998</v>
      </c>
      <c r="AL42">
        <v>40</v>
      </c>
      <c r="AM42">
        <v>56.035699999999999</v>
      </c>
      <c r="AN42">
        <v>113</v>
      </c>
      <c r="AO42">
        <v>58.892899999999997</v>
      </c>
      <c r="AR42">
        <v>40</v>
      </c>
      <c r="AS42">
        <v>62.311100000000003</v>
      </c>
      <c r="AT42">
        <v>120</v>
      </c>
      <c r="AU42">
        <v>60.911099999999998</v>
      </c>
      <c r="AX42">
        <v>40</v>
      </c>
      <c r="AY42">
        <v>59.583300000000001</v>
      </c>
      <c r="AZ42">
        <v>98</v>
      </c>
      <c r="BA42">
        <v>37.708300000000001</v>
      </c>
      <c r="BD42">
        <v>40</v>
      </c>
      <c r="BE42">
        <v>50.7667</v>
      </c>
      <c r="BF42">
        <v>95</v>
      </c>
      <c r="BG42">
        <v>24.166699999999999</v>
      </c>
      <c r="BJ42">
        <v>40</v>
      </c>
      <c r="BK42">
        <v>61.5946</v>
      </c>
      <c r="BL42">
        <v>114</v>
      </c>
      <c r="BM42">
        <v>38.1081</v>
      </c>
      <c r="BP42">
        <v>40</v>
      </c>
      <c r="BQ42">
        <v>53.8947</v>
      </c>
      <c r="BR42">
        <v>116</v>
      </c>
      <c r="BS42">
        <v>41.815800000000003</v>
      </c>
      <c r="BV42">
        <v>40</v>
      </c>
      <c r="BW42">
        <v>58.975000000000001</v>
      </c>
      <c r="BX42">
        <v>106</v>
      </c>
      <c r="BY42">
        <v>45.075000000000003</v>
      </c>
      <c r="CB42">
        <v>40</v>
      </c>
      <c r="CC42">
        <v>64.622200000000007</v>
      </c>
      <c r="CD42">
        <v>118</v>
      </c>
      <c r="CE42">
        <v>43.755600000000001</v>
      </c>
    </row>
    <row r="43" spans="2:83" x14ac:dyDescent="0.3">
      <c r="B43">
        <v>41</v>
      </c>
      <c r="C43">
        <v>81.131600000000006</v>
      </c>
      <c r="D43">
        <v>104</v>
      </c>
      <c r="E43">
        <v>32.289499999999997</v>
      </c>
      <c r="H43">
        <v>41</v>
      </c>
      <c r="I43">
        <v>83.2</v>
      </c>
      <c r="J43">
        <v>97</v>
      </c>
      <c r="K43">
        <v>31.88</v>
      </c>
      <c r="N43">
        <v>41</v>
      </c>
      <c r="O43">
        <v>67.533299999999997</v>
      </c>
      <c r="P43">
        <v>105</v>
      </c>
      <c r="Q43">
        <v>38.933300000000003</v>
      </c>
      <c r="T43">
        <v>41</v>
      </c>
      <c r="U43">
        <v>57.6111</v>
      </c>
      <c r="V43">
        <v>114</v>
      </c>
      <c r="W43">
        <v>44.194400000000002</v>
      </c>
      <c r="Z43">
        <v>41</v>
      </c>
      <c r="AA43">
        <v>44.2791</v>
      </c>
      <c r="AB43">
        <v>131</v>
      </c>
      <c r="AC43">
        <v>43.837200000000003</v>
      </c>
      <c r="AF43">
        <v>41</v>
      </c>
      <c r="AG43">
        <v>56.904800000000002</v>
      </c>
      <c r="AH43">
        <v>115</v>
      </c>
      <c r="AI43">
        <v>50.476199999999999</v>
      </c>
      <c r="AL43">
        <v>41</v>
      </c>
      <c r="AM43">
        <v>54.928600000000003</v>
      </c>
      <c r="AN43">
        <v>114</v>
      </c>
      <c r="AO43">
        <v>57.892899999999997</v>
      </c>
      <c r="AR43">
        <v>41</v>
      </c>
      <c r="AS43">
        <v>59.533299999999997</v>
      </c>
      <c r="AT43">
        <v>121</v>
      </c>
      <c r="AU43">
        <v>59.311100000000003</v>
      </c>
      <c r="AX43">
        <v>41</v>
      </c>
      <c r="AY43">
        <v>62.458300000000001</v>
      </c>
      <c r="AZ43">
        <v>99</v>
      </c>
      <c r="BA43">
        <v>35.833300000000001</v>
      </c>
      <c r="BD43">
        <v>41</v>
      </c>
      <c r="BE43">
        <v>52.666699999999999</v>
      </c>
      <c r="BF43">
        <v>96</v>
      </c>
      <c r="BG43">
        <v>23.6</v>
      </c>
      <c r="BJ43">
        <v>41</v>
      </c>
      <c r="BK43">
        <v>63.459499999999998</v>
      </c>
      <c r="BL43">
        <v>115</v>
      </c>
      <c r="BM43">
        <v>37.270299999999999</v>
      </c>
      <c r="BP43">
        <v>41</v>
      </c>
      <c r="BQ43">
        <v>54.5</v>
      </c>
      <c r="BR43">
        <v>117</v>
      </c>
      <c r="BS43">
        <v>41.342100000000002</v>
      </c>
      <c r="BV43">
        <v>41</v>
      </c>
      <c r="BW43">
        <v>60.125</v>
      </c>
      <c r="BX43">
        <v>107</v>
      </c>
      <c r="BY43">
        <v>44.1</v>
      </c>
      <c r="CB43">
        <v>41</v>
      </c>
      <c r="CC43">
        <v>66.444400000000002</v>
      </c>
      <c r="CD43">
        <v>119</v>
      </c>
      <c r="CE43">
        <v>43.1556</v>
      </c>
    </row>
    <row r="44" spans="2:83" x14ac:dyDescent="0.3">
      <c r="B44">
        <v>42</v>
      </c>
      <c r="C44">
        <v>81.447400000000002</v>
      </c>
      <c r="D44">
        <v>105</v>
      </c>
      <c r="E44">
        <v>31.263200000000001</v>
      </c>
      <c r="H44">
        <v>42</v>
      </c>
      <c r="I44">
        <v>85.2</v>
      </c>
      <c r="J44">
        <v>98</v>
      </c>
      <c r="K44">
        <v>31.28</v>
      </c>
      <c r="N44">
        <v>42</v>
      </c>
      <c r="O44">
        <v>69.966700000000003</v>
      </c>
      <c r="P44">
        <v>106</v>
      </c>
      <c r="Q44">
        <v>38.200000000000003</v>
      </c>
      <c r="T44">
        <v>42</v>
      </c>
      <c r="U44">
        <v>59.805599999999998</v>
      </c>
      <c r="V44">
        <v>115</v>
      </c>
      <c r="W44">
        <v>44.3889</v>
      </c>
      <c r="Z44">
        <v>42</v>
      </c>
      <c r="AA44">
        <v>46.093000000000004</v>
      </c>
      <c r="AB44">
        <v>132</v>
      </c>
      <c r="AC44">
        <v>43.930199999999999</v>
      </c>
      <c r="AF44">
        <v>42</v>
      </c>
      <c r="AG44">
        <v>58.523800000000001</v>
      </c>
      <c r="AH44">
        <v>116</v>
      </c>
      <c r="AI44">
        <v>49.381</v>
      </c>
      <c r="AL44">
        <v>42</v>
      </c>
      <c r="AM44">
        <v>54</v>
      </c>
      <c r="AN44">
        <v>115</v>
      </c>
      <c r="AO44">
        <v>56.321399999999997</v>
      </c>
      <c r="AR44">
        <v>42</v>
      </c>
      <c r="AS44">
        <v>57.311100000000003</v>
      </c>
      <c r="AT44">
        <v>122</v>
      </c>
      <c r="AU44">
        <v>57.533299999999997</v>
      </c>
      <c r="AX44">
        <v>42</v>
      </c>
      <c r="AY44">
        <v>63.791699999999999</v>
      </c>
      <c r="AZ44">
        <v>100</v>
      </c>
      <c r="BA44">
        <v>34.916699999999999</v>
      </c>
      <c r="BD44">
        <v>42</v>
      </c>
      <c r="BE44">
        <v>55.966700000000003</v>
      </c>
      <c r="BF44">
        <v>97</v>
      </c>
      <c r="BG44">
        <v>22.933299999999999</v>
      </c>
      <c r="BJ44">
        <v>42</v>
      </c>
      <c r="BK44">
        <v>64.972999999999999</v>
      </c>
      <c r="BL44">
        <v>116</v>
      </c>
      <c r="BM44">
        <v>36.8108</v>
      </c>
      <c r="BP44">
        <v>42</v>
      </c>
      <c r="BQ44">
        <v>56.157899999999998</v>
      </c>
      <c r="BR44">
        <v>118</v>
      </c>
      <c r="BS44">
        <v>40.447400000000002</v>
      </c>
      <c r="BV44">
        <v>42</v>
      </c>
      <c r="BW44">
        <v>61.024999999999999</v>
      </c>
      <c r="BX44">
        <v>108</v>
      </c>
      <c r="BY44">
        <v>43.174999999999997</v>
      </c>
      <c r="CB44">
        <v>42</v>
      </c>
      <c r="CC44">
        <v>68.333299999999994</v>
      </c>
      <c r="CD44">
        <v>120</v>
      </c>
      <c r="CE44">
        <v>42.311100000000003</v>
      </c>
    </row>
    <row r="45" spans="2:83" x14ac:dyDescent="0.3">
      <c r="B45">
        <v>43</v>
      </c>
      <c r="C45">
        <v>85.1053</v>
      </c>
      <c r="D45">
        <v>106</v>
      </c>
      <c r="E45">
        <v>31.184200000000001</v>
      </c>
      <c r="H45">
        <v>43</v>
      </c>
      <c r="I45">
        <v>86.6</v>
      </c>
      <c r="J45">
        <v>99</v>
      </c>
      <c r="K45">
        <v>31.08</v>
      </c>
      <c r="N45">
        <v>43</v>
      </c>
      <c r="O45">
        <v>72.3</v>
      </c>
      <c r="P45">
        <v>107</v>
      </c>
      <c r="Q45">
        <v>37.066699999999997</v>
      </c>
      <c r="T45">
        <v>43</v>
      </c>
      <c r="U45">
        <v>62.833300000000001</v>
      </c>
      <c r="V45">
        <v>116</v>
      </c>
      <c r="W45">
        <v>44.722200000000001</v>
      </c>
      <c r="Z45">
        <v>43</v>
      </c>
      <c r="AA45">
        <v>47.767400000000002</v>
      </c>
      <c r="AB45">
        <v>133</v>
      </c>
      <c r="AC45">
        <v>43.4651</v>
      </c>
      <c r="AF45">
        <v>43</v>
      </c>
      <c r="AG45">
        <v>60.5</v>
      </c>
      <c r="AH45">
        <v>117</v>
      </c>
      <c r="AI45">
        <v>49.357100000000003</v>
      </c>
      <c r="AL45">
        <v>43</v>
      </c>
      <c r="AM45">
        <v>53.678600000000003</v>
      </c>
      <c r="AN45">
        <v>116</v>
      </c>
      <c r="AO45">
        <v>54.678600000000003</v>
      </c>
      <c r="AR45">
        <v>43</v>
      </c>
      <c r="AS45">
        <v>56.355600000000003</v>
      </c>
      <c r="AT45">
        <v>123</v>
      </c>
      <c r="AU45">
        <v>56.044400000000003</v>
      </c>
      <c r="AX45">
        <v>43</v>
      </c>
      <c r="AY45">
        <v>63.291699999999999</v>
      </c>
      <c r="AZ45">
        <v>101</v>
      </c>
      <c r="BA45">
        <v>34.958300000000001</v>
      </c>
      <c r="BD45">
        <v>43</v>
      </c>
      <c r="BE45">
        <v>59.1</v>
      </c>
      <c r="BF45">
        <v>98</v>
      </c>
      <c r="BG45">
        <v>22.5</v>
      </c>
      <c r="BJ45">
        <v>43</v>
      </c>
      <c r="BK45">
        <v>66.378399999999999</v>
      </c>
      <c r="BL45">
        <v>117</v>
      </c>
      <c r="BM45">
        <v>36.648600000000002</v>
      </c>
      <c r="BP45">
        <v>43</v>
      </c>
      <c r="BQ45">
        <v>57.210500000000003</v>
      </c>
      <c r="BR45">
        <v>119</v>
      </c>
      <c r="BS45">
        <v>39.921100000000003</v>
      </c>
      <c r="BV45">
        <v>43</v>
      </c>
      <c r="BW45">
        <v>61.6</v>
      </c>
      <c r="BX45">
        <v>109</v>
      </c>
      <c r="BY45">
        <v>42.15</v>
      </c>
      <c r="CB45">
        <v>43</v>
      </c>
      <c r="CC45">
        <v>70</v>
      </c>
      <c r="CD45">
        <v>121</v>
      </c>
      <c r="CE45">
        <v>41.1556</v>
      </c>
    </row>
    <row r="46" spans="2:83" x14ac:dyDescent="0.3">
      <c r="B46">
        <v>44</v>
      </c>
      <c r="C46">
        <v>90.263199999999998</v>
      </c>
      <c r="D46">
        <v>107</v>
      </c>
      <c r="E46">
        <v>31.552600000000002</v>
      </c>
      <c r="H46">
        <v>44</v>
      </c>
      <c r="I46">
        <v>87.48</v>
      </c>
      <c r="J46">
        <v>100</v>
      </c>
      <c r="K46">
        <v>30.88</v>
      </c>
      <c r="N46">
        <v>44</v>
      </c>
      <c r="O46">
        <v>75.533299999999997</v>
      </c>
      <c r="P46">
        <v>108</v>
      </c>
      <c r="Q46">
        <v>35.799999999999997</v>
      </c>
      <c r="T46">
        <v>44</v>
      </c>
      <c r="U46">
        <v>67</v>
      </c>
      <c r="V46">
        <v>117</v>
      </c>
      <c r="W46">
        <v>44.8889</v>
      </c>
      <c r="Z46">
        <v>44</v>
      </c>
      <c r="AA46">
        <v>48.186</v>
      </c>
      <c r="AB46">
        <v>134</v>
      </c>
      <c r="AC46">
        <v>43.814</v>
      </c>
      <c r="AF46">
        <v>44</v>
      </c>
      <c r="AG46">
        <v>63.404800000000002</v>
      </c>
      <c r="AH46">
        <v>118</v>
      </c>
      <c r="AI46">
        <v>49</v>
      </c>
      <c r="AL46">
        <v>44</v>
      </c>
      <c r="AM46">
        <v>55.071399999999997</v>
      </c>
      <c r="AN46">
        <v>117</v>
      </c>
      <c r="AO46">
        <v>52.678600000000003</v>
      </c>
      <c r="AR46">
        <v>44</v>
      </c>
      <c r="AS46">
        <v>57.6</v>
      </c>
      <c r="AT46">
        <v>124</v>
      </c>
      <c r="AU46">
        <v>55.022199999999998</v>
      </c>
      <c r="AX46">
        <v>44</v>
      </c>
      <c r="AY46">
        <v>63.166699999999999</v>
      </c>
      <c r="AZ46">
        <v>102</v>
      </c>
      <c r="BA46">
        <v>34.916699999999999</v>
      </c>
      <c r="BD46">
        <v>44</v>
      </c>
      <c r="BE46">
        <v>61.433300000000003</v>
      </c>
      <c r="BF46">
        <v>99</v>
      </c>
      <c r="BG46">
        <v>22.2667</v>
      </c>
      <c r="BJ46">
        <v>44</v>
      </c>
      <c r="BK46">
        <v>67.621600000000001</v>
      </c>
      <c r="BL46">
        <v>118</v>
      </c>
      <c r="BM46">
        <v>35.783799999999999</v>
      </c>
      <c r="BP46">
        <v>44</v>
      </c>
      <c r="BQ46">
        <v>57.447400000000002</v>
      </c>
      <c r="BR46">
        <v>120</v>
      </c>
      <c r="BS46">
        <v>39.526299999999999</v>
      </c>
      <c r="BV46">
        <v>44</v>
      </c>
      <c r="BW46">
        <v>62.225000000000001</v>
      </c>
      <c r="BX46">
        <v>110</v>
      </c>
      <c r="BY46">
        <v>41.325000000000003</v>
      </c>
      <c r="CB46">
        <v>44</v>
      </c>
      <c r="CC46">
        <v>71.155600000000007</v>
      </c>
      <c r="CD46">
        <v>122</v>
      </c>
      <c r="CE46">
        <v>40.088900000000002</v>
      </c>
    </row>
    <row r="47" spans="2:83" x14ac:dyDescent="0.3">
      <c r="B47">
        <v>45</v>
      </c>
      <c r="C47">
        <v>94.447400000000002</v>
      </c>
      <c r="D47">
        <v>108</v>
      </c>
      <c r="E47">
        <v>32.052599999999998</v>
      </c>
      <c r="H47">
        <v>45</v>
      </c>
      <c r="I47">
        <v>88.8</v>
      </c>
      <c r="J47">
        <v>101</v>
      </c>
      <c r="K47">
        <v>30.6</v>
      </c>
      <c r="N47">
        <v>45</v>
      </c>
      <c r="O47">
        <v>79.133300000000006</v>
      </c>
      <c r="P47">
        <v>109</v>
      </c>
      <c r="Q47">
        <v>34.866700000000002</v>
      </c>
      <c r="T47">
        <v>45</v>
      </c>
      <c r="U47">
        <v>72.083299999999994</v>
      </c>
      <c r="V47">
        <v>118</v>
      </c>
      <c r="W47">
        <v>44.972200000000001</v>
      </c>
      <c r="Z47">
        <v>45</v>
      </c>
      <c r="AA47">
        <v>48.674399999999999</v>
      </c>
      <c r="AB47">
        <v>135</v>
      </c>
      <c r="AC47">
        <v>44.348799999999997</v>
      </c>
      <c r="AF47">
        <v>45</v>
      </c>
      <c r="AG47">
        <v>66.761899999999997</v>
      </c>
      <c r="AH47">
        <v>119</v>
      </c>
      <c r="AI47">
        <v>48.381</v>
      </c>
      <c r="AL47">
        <v>45</v>
      </c>
      <c r="AM47">
        <v>56.75</v>
      </c>
      <c r="AN47">
        <v>118</v>
      </c>
      <c r="AO47">
        <v>51.285699999999999</v>
      </c>
      <c r="AR47">
        <v>45</v>
      </c>
      <c r="AS47">
        <v>60.866700000000002</v>
      </c>
      <c r="AT47">
        <v>125</v>
      </c>
      <c r="AU47">
        <v>53.777799999999999</v>
      </c>
      <c r="AX47">
        <v>45</v>
      </c>
      <c r="AY47">
        <v>64.625</v>
      </c>
      <c r="AZ47">
        <v>103</v>
      </c>
      <c r="BA47">
        <v>35.166699999999999</v>
      </c>
      <c r="BD47">
        <v>45</v>
      </c>
      <c r="BE47">
        <v>63.166699999999999</v>
      </c>
      <c r="BF47">
        <v>100</v>
      </c>
      <c r="BG47">
        <v>21.9</v>
      </c>
      <c r="BJ47">
        <v>45</v>
      </c>
      <c r="BK47">
        <v>69.324299999999994</v>
      </c>
      <c r="BL47">
        <v>119</v>
      </c>
      <c r="BM47">
        <v>34.864899999999999</v>
      </c>
      <c r="BP47">
        <v>45</v>
      </c>
      <c r="BQ47">
        <v>56.657899999999998</v>
      </c>
      <c r="BR47">
        <v>121</v>
      </c>
      <c r="BS47">
        <v>38.236800000000002</v>
      </c>
      <c r="BV47">
        <v>45</v>
      </c>
      <c r="BW47">
        <v>63.575000000000003</v>
      </c>
      <c r="BX47">
        <v>111</v>
      </c>
      <c r="BY47">
        <v>39.975000000000001</v>
      </c>
      <c r="CB47">
        <v>45</v>
      </c>
      <c r="CC47">
        <v>72.155600000000007</v>
      </c>
      <c r="CD47">
        <v>123</v>
      </c>
      <c r="CE47">
        <v>39.044400000000003</v>
      </c>
    </row>
    <row r="48" spans="2:83" x14ac:dyDescent="0.3">
      <c r="B48">
        <v>46</v>
      </c>
      <c r="C48">
        <v>96.947400000000002</v>
      </c>
      <c r="D48">
        <v>109</v>
      </c>
      <c r="E48">
        <v>32.315800000000003</v>
      </c>
      <c r="H48">
        <v>46</v>
      </c>
      <c r="I48">
        <v>89.96</v>
      </c>
      <c r="J48">
        <v>102</v>
      </c>
      <c r="K48">
        <v>30.16</v>
      </c>
      <c r="N48">
        <v>46</v>
      </c>
      <c r="O48">
        <v>82.2333</v>
      </c>
      <c r="P48">
        <v>110</v>
      </c>
      <c r="Q48">
        <v>34.533299999999997</v>
      </c>
      <c r="T48">
        <v>46</v>
      </c>
      <c r="U48">
        <v>76.25</v>
      </c>
      <c r="V48">
        <v>119</v>
      </c>
      <c r="W48">
        <v>45.055599999999998</v>
      </c>
      <c r="Z48">
        <v>46</v>
      </c>
      <c r="AA48">
        <v>49.604700000000001</v>
      </c>
      <c r="AB48">
        <v>136</v>
      </c>
      <c r="AC48">
        <v>43.837200000000003</v>
      </c>
      <c r="AF48">
        <v>46</v>
      </c>
      <c r="AG48">
        <v>69.1905</v>
      </c>
      <c r="AH48">
        <v>120</v>
      </c>
      <c r="AI48">
        <v>47.8095</v>
      </c>
      <c r="AL48">
        <v>46</v>
      </c>
      <c r="AM48">
        <v>59.035699999999999</v>
      </c>
      <c r="AN48">
        <v>119</v>
      </c>
      <c r="AO48">
        <v>49.857100000000003</v>
      </c>
      <c r="AR48">
        <v>46</v>
      </c>
      <c r="AS48">
        <v>64.8</v>
      </c>
      <c r="AT48">
        <v>126</v>
      </c>
      <c r="AU48">
        <v>52.6</v>
      </c>
      <c r="AX48">
        <v>46</v>
      </c>
      <c r="AY48">
        <v>66.25</v>
      </c>
      <c r="AZ48">
        <v>104</v>
      </c>
      <c r="BA48">
        <v>35.333300000000001</v>
      </c>
      <c r="BD48">
        <v>46</v>
      </c>
      <c r="BE48">
        <v>64.566699999999997</v>
      </c>
      <c r="BF48">
        <v>101</v>
      </c>
      <c r="BG48">
        <v>21.7667</v>
      </c>
      <c r="BJ48">
        <v>46</v>
      </c>
      <c r="BK48">
        <v>71.621600000000001</v>
      </c>
      <c r="BL48">
        <v>120</v>
      </c>
      <c r="BM48">
        <v>34.135100000000001</v>
      </c>
      <c r="BP48">
        <v>46</v>
      </c>
      <c r="BQ48">
        <v>56.6053</v>
      </c>
      <c r="BR48">
        <v>122</v>
      </c>
      <c r="BS48">
        <v>36.868400000000001</v>
      </c>
      <c r="BV48">
        <v>46</v>
      </c>
      <c r="BW48">
        <v>65.55</v>
      </c>
      <c r="BX48">
        <v>112</v>
      </c>
      <c r="BY48">
        <v>39.200000000000003</v>
      </c>
      <c r="CB48">
        <v>46</v>
      </c>
      <c r="CC48">
        <v>73.555599999999998</v>
      </c>
      <c r="CD48">
        <v>124</v>
      </c>
      <c r="CE48">
        <v>37.511099999999999</v>
      </c>
    </row>
    <row r="49" spans="2:83" x14ac:dyDescent="0.3">
      <c r="B49">
        <v>47</v>
      </c>
      <c r="C49">
        <v>98.263199999999998</v>
      </c>
      <c r="D49">
        <v>110</v>
      </c>
      <c r="E49">
        <v>31.921099999999999</v>
      </c>
      <c r="H49">
        <v>47</v>
      </c>
      <c r="I49">
        <v>91.2</v>
      </c>
      <c r="J49">
        <v>103</v>
      </c>
      <c r="K49">
        <v>29.64</v>
      </c>
      <c r="N49">
        <v>47</v>
      </c>
      <c r="O49">
        <v>85.133300000000006</v>
      </c>
      <c r="P49">
        <v>111</v>
      </c>
      <c r="Q49">
        <v>34.666699999999999</v>
      </c>
      <c r="T49">
        <v>47</v>
      </c>
      <c r="U49">
        <v>79.611099999999993</v>
      </c>
      <c r="V49">
        <v>120</v>
      </c>
      <c r="W49">
        <v>44.722200000000001</v>
      </c>
      <c r="Z49">
        <v>47</v>
      </c>
      <c r="AA49">
        <v>50.860500000000002</v>
      </c>
      <c r="AB49">
        <v>137</v>
      </c>
      <c r="AC49">
        <v>43</v>
      </c>
      <c r="AF49">
        <v>47</v>
      </c>
      <c r="AG49">
        <v>70.761899999999997</v>
      </c>
      <c r="AH49">
        <v>121</v>
      </c>
      <c r="AI49">
        <v>47.452399999999997</v>
      </c>
      <c r="AL49">
        <v>47</v>
      </c>
      <c r="AM49">
        <v>62.785699999999999</v>
      </c>
      <c r="AN49">
        <v>120</v>
      </c>
      <c r="AO49">
        <v>48.642899999999997</v>
      </c>
      <c r="AR49">
        <v>47</v>
      </c>
      <c r="AS49">
        <v>68</v>
      </c>
      <c r="AT49">
        <v>127</v>
      </c>
      <c r="AU49">
        <v>50.8</v>
      </c>
      <c r="AX49">
        <v>47</v>
      </c>
      <c r="AY49">
        <v>66.583299999999994</v>
      </c>
      <c r="AZ49">
        <v>105</v>
      </c>
      <c r="BA49">
        <v>35.083300000000001</v>
      </c>
      <c r="BD49">
        <v>47</v>
      </c>
      <c r="BE49">
        <v>65.466700000000003</v>
      </c>
      <c r="BF49">
        <v>102</v>
      </c>
      <c r="BG49">
        <v>21.2667</v>
      </c>
      <c r="BJ49">
        <v>47</v>
      </c>
      <c r="BK49">
        <v>73.972999999999999</v>
      </c>
      <c r="BL49">
        <v>121</v>
      </c>
      <c r="BM49">
        <v>33.324300000000001</v>
      </c>
      <c r="BP49">
        <v>47</v>
      </c>
      <c r="BQ49">
        <v>62.368400000000001</v>
      </c>
      <c r="BR49">
        <v>123</v>
      </c>
      <c r="BS49">
        <v>35.868400000000001</v>
      </c>
      <c r="BV49">
        <v>47</v>
      </c>
      <c r="BW49">
        <v>67.825000000000003</v>
      </c>
      <c r="BX49">
        <v>113</v>
      </c>
      <c r="BY49">
        <v>39</v>
      </c>
      <c r="CB49">
        <v>47</v>
      </c>
      <c r="CC49">
        <v>75.177800000000005</v>
      </c>
      <c r="CD49">
        <v>125</v>
      </c>
      <c r="CE49">
        <v>36.066699999999997</v>
      </c>
    </row>
    <row r="50" spans="2:83" x14ac:dyDescent="0.3">
      <c r="B50">
        <v>48</v>
      </c>
      <c r="C50">
        <v>99.1053</v>
      </c>
      <c r="D50">
        <v>111</v>
      </c>
      <c r="E50">
        <v>31</v>
      </c>
      <c r="H50">
        <v>48</v>
      </c>
      <c r="I50">
        <v>91.36</v>
      </c>
      <c r="J50">
        <v>104</v>
      </c>
      <c r="K50">
        <v>28.88</v>
      </c>
      <c r="N50">
        <v>48</v>
      </c>
      <c r="O50">
        <v>87.366699999999994</v>
      </c>
      <c r="P50">
        <v>112</v>
      </c>
      <c r="Q50">
        <v>34.466700000000003</v>
      </c>
      <c r="T50">
        <v>48</v>
      </c>
      <c r="U50">
        <v>82.305599999999998</v>
      </c>
      <c r="V50">
        <v>121</v>
      </c>
      <c r="W50">
        <v>44.25</v>
      </c>
      <c r="Z50">
        <v>48</v>
      </c>
      <c r="AA50">
        <v>51.837200000000003</v>
      </c>
      <c r="AB50">
        <v>138</v>
      </c>
      <c r="AC50">
        <v>42.186</v>
      </c>
      <c r="AF50">
        <v>48</v>
      </c>
      <c r="AG50">
        <v>72.142899999999997</v>
      </c>
      <c r="AH50">
        <v>122</v>
      </c>
      <c r="AI50">
        <v>47.642899999999997</v>
      </c>
      <c r="AL50">
        <v>48</v>
      </c>
      <c r="AM50">
        <v>65.964299999999994</v>
      </c>
      <c r="AN50">
        <v>121</v>
      </c>
      <c r="AO50">
        <v>48.428600000000003</v>
      </c>
      <c r="AR50">
        <v>48</v>
      </c>
      <c r="AS50">
        <v>70.466700000000003</v>
      </c>
      <c r="AT50">
        <v>128</v>
      </c>
      <c r="AU50">
        <v>49.088900000000002</v>
      </c>
      <c r="AX50">
        <v>48</v>
      </c>
      <c r="AY50">
        <v>67.666700000000006</v>
      </c>
      <c r="AZ50">
        <v>106</v>
      </c>
      <c r="BA50">
        <v>34.375</v>
      </c>
      <c r="BD50">
        <v>48</v>
      </c>
      <c r="BE50">
        <v>66.2333</v>
      </c>
      <c r="BF50">
        <v>103</v>
      </c>
      <c r="BG50">
        <v>20.7333</v>
      </c>
      <c r="BJ50">
        <v>48</v>
      </c>
      <c r="BK50">
        <v>76.621600000000001</v>
      </c>
      <c r="BL50">
        <v>122</v>
      </c>
      <c r="BM50">
        <v>32.324300000000001</v>
      </c>
      <c r="BP50">
        <v>48</v>
      </c>
      <c r="BQ50">
        <v>73</v>
      </c>
      <c r="BR50">
        <v>124</v>
      </c>
      <c r="BS50">
        <v>35.842100000000002</v>
      </c>
      <c r="BV50">
        <v>48</v>
      </c>
      <c r="BW50">
        <v>69.8</v>
      </c>
      <c r="BX50">
        <v>114</v>
      </c>
      <c r="BY50">
        <v>38.975000000000001</v>
      </c>
      <c r="CB50">
        <v>48</v>
      </c>
      <c r="CC50">
        <v>75.955600000000004</v>
      </c>
      <c r="CD50">
        <v>126</v>
      </c>
      <c r="CE50">
        <v>34.911099999999998</v>
      </c>
    </row>
    <row r="51" spans="2:83" x14ac:dyDescent="0.3">
      <c r="B51">
        <v>49</v>
      </c>
      <c r="C51">
        <v>98.6053</v>
      </c>
      <c r="D51">
        <v>112</v>
      </c>
      <c r="E51">
        <v>30.131599999999999</v>
      </c>
      <c r="H51">
        <v>49</v>
      </c>
      <c r="I51">
        <v>91.28</v>
      </c>
      <c r="J51">
        <v>105</v>
      </c>
      <c r="K51">
        <v>28</v>
      </c>
      <c r="N51">
        <v>49</v>
      </c>
      <c r="O51">
        <v>88.7667</v>
      </c>
      <c r="P51">
        <v>113</v>
      </c>
      <c r="Q51">
        <v>34.700000000000003</v>
      </c>
      <c r="T51">
        <v>49</v>
      </c>
      <c r="U51">
        <v>84.722200000000001</v>
      </c>
      <c r="V51">
        <v>122</v>
      </c>
      <c r="W51">
        <v>43.583300000000001</v>
      </c>
      <c r="Z51">
        <v>49</v>
      </c>
      <c r="AA51">
        <v>53.209299999999999</v>
      </c>
      <c r="AB51">
        <v>139</v>
      </c>
      <c r="AC51">
        <v>41.255800000000001</v>
      </c>
      <c r="AF51">
        <v>49</v>
      </c>
      <c r="AG51">
        <v>73.547600000000003</v>
      </c>
      <c r="AH51">
        <v>123</v>
      </c>
      <c r="AI51">
        <v>47.238100000000003</v>
      </c>
      <c r="AL51">
        <v>49</v>
      </c>
      <c r="AM51">
        <v>68</v>
      </c>
      <c r="AN51">
        <v>122</v>
      </c>
      <c r="AO51">
        <v>48.178600000000003</v>
      </c>
      <c r="AR51">
        <v>49</v>
      </c>
      <c r="AS51">
        <v>72.111099999999993</v>
      </c>
      <c r="AT51">
        <v>129</v>
      </c>
      <c r="AU51">
        <v>47.488900000000001</v>
      </c>
      <c r="AX51">
        <v>49</v>
      </c>
      <c r="AY51">
        <v>66.958299999999994</v>
      </c>
      <c r="AZ51">
        <v>107</v>
      </c>
      <c r="BA51">
        <v>34.041699999999999</v>
      </c>
      <c r="BD51">
        <v>49</v>
      </c>
      <c r="BE51">
        <v>67.033299999999997</v>
      </c>
      <c r="BF51">
        <v>104</v>
      </c>
      <c r="BG51">
        <v>20.633299999999998</v>
      </c>
      <c r="BJ51">
        <v>49</v>
      </c>
      <c r="BK51">
        <v>79.648700000000005</v>
      </c>
      <c r="BL51">
        <v>123</v>
      </c>
      <c r="BM51">
        <v>31.486499999999999</v>
      </c>
      <c r="BP51">
        <v>49</v>
      </c>
      <c r="BQ51">
        <v>83.421099999999996</v>
      </c>
      <c r="BR51">
        <v>125</v>
      </c>
      <c r="BS51">
        <v>36.157899999999998</v>
      </c>
      <c r="BV51">
        <v>49</v>
      </c>
      <c r="BW51">
        <v>71.900000000000006</v>
      </c>
      <c r="BX51">
        <v>115</v>
      </c>
      <c r="BY51">
        <v>38.25</v>
      </c>
      <c r="CB51">
        <v>49</v>
      </c>
      <c r="CC51">
        <v>75.911100000000005</v>
      </c>
      <c r="CD51">
        <v>127</v>
      </c>
      <c r="CE51">
        <v>34.088900000000002</v>
      </c>
    </row>
    <row r="52" spans="2:83" x14ac:dyDescent="0.3">
      <c r="B52">
        <v>50</v>
      </c>
      <c r="C52">
        <v>97.684200000000004</v>
      </c>
      <c r="D52">
        <v>113</v>
      </c>
      <c r="E52">
        <v>29.026299999999999</v>
      </c>
      <c r="H52">
        <v>50</v>
      </c>
      <c r="I52">
        <v>91.84</v>
      </c>
      <c r="J52">
        <v>106</v>
      </c>
      <c r="K52">
        <v>27.12</v>
      </c>
      <c r="N52">
        <v>50</v>
      </c>
      <c r="O52">
        <v>90.366699999999994</v>
      </c>
      <c r="P52">
        <v>114</v>
      </c>
      <c r="Q52">
        <v>33.966700000000003</v>
      </c>
      <c r="T52">
        <v>50</v>
      </c>
      <c r="U52">
        <v>86.527799999999999</v>
      </c>
      <c r="V52">
        <v>123</v>
      </c>
      <c r="W52">
        <v>42.583300000000001</v>
      </c>
      <c r="Z52">
        <v>50</v>
      </c>
      <c r="AA52">
        <v>54.930199999999999</v>
      </c>
      <c r="AB52">
        <v>140</v>
      </c>
      <c r="AC52">
        <v>41.511600000000001</v>
      </c>
      <c r="AF52">
        <v>50</v>
      </c>
      <c r="AG52">
        <v>74.381</v>
      </c>
      <c r="AH52">
        <v>124</v>
      </c>
      <c r="AI52">
        <v>46.714300000000001</v>
      </c>
      <c r="AL52">
        <v>50</v>
      </c>
      <c r="AM52">
        <v>70.392899999999997</v>
      </c>
      <c r="AN52">
        <v>123</v>
      </c>
      <c r="AO52">
        <v>47.892899999999997</v>
      </c>
      <c r="AR52">
        <v>50</v>
      </c>
      <c r="AS52">
        <v>73.377799999999993</v>
      </c>
      <c r="AT52">
        <v>130</v>
      </c>
      <c r="AU52">
        <v>45.688899999999997</v>
      </c>
      <c r="AX52">
        <v>50</v>
      </c>
      <c r="AY52">
        <v>66.791700000000006</v>
      </c>
      <c r="AZ52">
        <v>108</v>
      </c>
      <c r="BA52">
        <v>33.541699999999999</v>
      </c>
      <c r="BD52">
        <v>50</v>
      </c>
      <c r="BE52">
        <v>67.2333</v>
      </c>
      <c r="BF52">
        <v>105</v>
      </c>
      <c r="BG52">
        <v>20.5</v>
      </c>
      <c r="BJ52">
        <v>50</v>
      </c>
      <c r="BK52">
        <v>83.567599999999999</v>
      </c>
      <c r="BL52">
        <v>124</v>
      </c>
      <c r="BM52">
        <v>30.5946</v>
      </c>
      <c r="BP52">
        <v>50</v>
      </c>
      <c r="BQ52">
        <v>95.157899999999998</v>
      </c>
      <c r="BR52">
        <v>126</v>
      </c>
      <c r="BS52">
        <v>36.131599999999999</v>
      </c>
      <c r="BV52">
        <v>50</v>
      </c>
      <c r="BW52">
        <v>73.650000000000006</v>
      </c>
      <c r="BX52">
        <v>116</v>
      </c>
      <c r="BY52">
        <v>37.1</v>
      </c>
      <c r="CB52">
        <v>50</v>
      </c>
      <c r="CC52">
        <v>76.577799999999996</v>
      </c>
      <c r="CD52">
        <v>128</v>
      </c>
      <c r="CE52">
        <v>33.533299999999997</v>
      </c>
    </row>
    <row r="53" spans="2:83" x14ac:dyDescent="0.3">
      <c r="B53">
        <v>51</v>
      </c>
      <c r="C53">
        <v>96.973699999999994</v>
      </c>
      <c r="D53">
        <v>114</v>
      </c>
      <c r="E53">
        <v>28.026299999999999</v>
      </c>
      <c r="H53">
        <v>51</v>
      </c>
      <c r="I53">
        <v>92.08</v>
      </c>
      <c r="J53">
        <v>107</v>
      </c>
      <c r="K53">
        <v>26.76</v>
      </c>
      <c r="N53">
        <v>51</v>
      </c>
      <c r="O53">
        <v>91.166700000000006</v>
      </c>
      <c r="P53">
        <v>115</v>
      </c>
      <c r="Q53">
        <v>33.700000000000003</v>
      </c>
      <c r="T53">
        <v>51</v>
      </c>
      <c r="U53">
        <v>87.055599999999998</v>
      </c>
      <c r="V53">
        <v>124</v>
      </c>
      <c r="W53">
        <v>41.3889</v>
      </c>
      <c r="Z53">
        <v>51</v>
      </c>
      <c r="AA53">
        <v>56.232599999999998</v>
      </c>
      <c r="AB53">
        <v>141</v>
      </c>
      <c r="AC53">
        <v>41.209299999999999</v>
      </c>
      <c r="AF53">
        <v>51</v>
      </c>
      <c r="AG53">
        <v>75.238100000000003</v>
      </c>
      <c r="AH53">
        <v>125</v>
      </c>
      <c r="AI53">
        <v>45.571399999999997</v>
      </c>
      <c r="AL53">
        <v>51</v>
      </c>
      <c r="AM53">
        <v>73.428600000000003</v>
      </c>
      <c r="AN53">
        <v>124</v>
      </c>
      <c r="AO53">
        <v>46.892899999999997</v>
      </c>
      <c r="AR53">
        <v>51</v>
      </c>
      <c r="AS53">
        <v>73.688900000000004</v>
      </c>
      <c r="AT53">
        <v>131</v>
      </c>
      <c r="AU53">
        <v>44.533299999999997</v>
      </c>
      <c r="AX53">
        <v>51</v>
      </c>
      <c r="AY53">
        <v>68.041700000000006</v>
      </c>
      <c r="AZ53">
        <v>109</v>
      </c>
      <c r="BA53">
        <v>33</v>
      </c>
      <c r="BD53">
        <v>51</v>
      </c>
      <c r="BE53">
        <v>67.2333</v>
      </c>
      <c r="BF53">
        <v>106</v>
      </c>
      <c r="BG53">
        <v>20.2333</v>
      </c>
      <c r="BJ53">
        <v>51</v>
      </c>
      <c r="BK53">
        <v>87.432400000000001</v>
      </c>
      <c r="BL53">
        <v>125</v>
      </c>
      <c r="BM53">
        <v>30.081099999999999</v>
      </c>
      <c r="BP53">
        <v>51</v>
      </c>
      <c r="BQ53">
        <v>102.7632</v>
      </c>
      <c r="BR53">
        <v>127</v>
      </c>
      <c r="BS53">
        <v>35.815800000000003</v>
      </c>
      <c r="BV53">
        <v>51</v>
      </c>
      <c r="BW53">
        <v>74.825000000000003</v>
      </c>
      <c r="BX53">
        <v>117</v>
      </c>
      <c r="BY53">
        <v>35.950000000000003</v>
      </c>
      <c r="CB53">
        <v>51</v>
      </c>
      <c r="CC53">
        <v>77.8</v>
      </c>
      <c r="CD53">
        <v>129</v>
      </c>
      <c r="CE53">
        <v>32.933300000000003</v>
      </c>
    </row>
    <row r="54" spans="2:83" x14ac:dyDescent="0.3">
      <c r="B54">
        <v>52</v>
      </c>
      <c r="C54">
        <v>96.078900000000004</v>
      </c>
      <c r="D54">
        <v>115</v>
      </c>
      <c r="E54">
        <v>27.868400000000001</v>
      </c>
      <c r="H54">
        <v>52</v>
      </c>
      <c r="I54">
        <v>92.48</v>
      </c>
      <c r="J54">
        <v>108</v>
      </c>
      <c r="K54">
        <v>26.36</v>
      </c>
      <c r="N54">
        <v>52</v>
      </c>
      <c r="O54">
        <v>92.3</v>
      </c>
      <c r="P54">
        <v>116</v>
      </c>
      <c r="Q54">
        <v>32.933300000000003</v>
      </c>
      <c r="T54">
        <v>52</v>
      </c>
      <c r="U54">
        <v>88.027799999999999</v>
      </c>
      <c r="V54">
        <v>125</v>
      </c>
      <c r="W54">
        <v>40.527799999999999</v>
      </c>
      <c r="Z54">
        <v>52</v>
      </c>
      <c r="AA54">
        <v>57.139499999999998</v>
      </c>
      <c r="AB54">
        <v>142</v>
      </c>
      <c r="AC54">
        <v>39.953499999999998</v>
      </c>
      <c r="AF54">
        <v>52</v>
      </c>
      <c r="AG54">
        <v>75.452399999999997</v>
      </c>
      <c r="AH54">
        <v>126</v>
      </c>
      <c r="AI54">
        <v>44.642899999999997</v>
      </c>
      <c r="AL54">
        <v>52</v>
      </c>
      <c r="AM54">
        <v>77.714299999999994</v>
      </c>
      <c r="AN54">
        <v>125</v>
      </c>
      <c r="AO54">
        <v>46.107100000000003</v>
      </c>
      <c r="AR54">
        <v>52</v>
      </c>
      <c r="AS54">
        <v>75.111099999999993</v>
      </c>
      <c r="AT54">
        <v>132</v>
      </c>
      <c r="AU54">
        <v>44.133299999999998</v>
      </c>
      <c r="AX54">
        <v>52</v>
      </c>
      <c r="AY54">
        <v>68.75</v>
      </c>
      <c r="AZ54">
        <v>110</v>
      </c>
      <c r="BA54">
        <v>32.041699999999999</v>
      </c>
      <c r="BD54">
        <v>52</v>
      </c>
      <c r="BE54">
        <v>67.900000000000006</v>
      </c>
      <c r="BF54">
        <v>107</v>
      </c>
      <c r="BG54">
        <v>20.166699999999999</v>
      </c>
      <c r="BJ54">
        <v>52</v>
      </c>
      <c r="BK54">
        <v>90.972999999999999</v>
      </c>
      <c r="BL54">
        <v>126</v>
      </c>
      <c r="BM54">
        <v>29.864899999999999</v>
      </c>
      <c r="BP54">
        <v>52</v>
      </c>
      <c r="BQ54">
        <v>104.3421</v>
      </c>
      <c r="BR54">
        <v>128</v>
      </c>
      <c r="BS54">
        <v>35.052599999999998</v>
      </c>
      <c r="BV54">
        <v>52</v>
      </c>
      <c r="BW54">
        <v>76.2</v>
      </c>
      <c r="BX54">
        <v>118</v>
      </c>
      <c r="BY54">
        <v>35.375</v>
      </c>
      <c r="CB54">
        <v>52</v>
      </c>
      <c r="CC54">
        <v>78.977800000000002</v>
      </c>
      <c r="CD54">
        <v>130</v>
      </c>
      <c r="CE54">
        <v>32.1111</v>
      </c>
    </row>
    <row r="55" spans="2:83" x14ac:dyDescent="0.3">
      <c r="B55">
        <v>53</v>
      </c>
      <c r="C55">
        <v>95.078900000000004</v>
      </c>
      <c r="D55">
        <v>116</v>
      </c>
      <c r="E55">
        <v>28.131599999999999</v>
      </c>
      <c r="H55">
        <v>53</v>
      </c>
      <c r="I55">
        <v>93.32</v>
      </c>
      <c r="J55">
        <v>109</v>
      </c>
      <c r="K55">
        <v>26.04</v>
      </c>
      <c r="N55">
        <v>53</v>
      </c>
      <c r="O55">
        <v>93.7</v>
      </c>
      <c r="P55">
        <v>117</v>
      </c>
      <c r="Q55">
        <v>32.700000000000003</v>
      </c>
      <c r="T55">
        <v>53</v>
      </c>
      <c r="U55">
        <v>90.833299999999994</v>
      </c>
      <c r="V55">
        <v>126</v>
      </c>
      <c r="W55">
        <v>40.527799999999999</v>
      </c>
      <c r="Z55">
        <v>53</v>
      </c>
      <c r="AA55">
        <v>59.325600000000001</v>
      </c>
      <c r="AB55">
        <v>143</v>
      </c>
      <c r="AC55">
        <v>38.651200000000003</v>
      </c>
      <c r="AF55">
        <v>53</v>
      </c>
      <c r="AG55">
        <v>77.238100000000003</v>
      </c>
      <c r="AH55">
        <v>127</v>
      </c>
      <c r="AI55">
        <v>44.1905</v>
      </c>
      <c r="AL55">
        <v>53</v>
      </c>
      <c r="AM55">
        <v>81.142899999999997</v>
      </c>
      <c r="AN55">
        <v>126</v>
      </c>
      <c r="AO55">
        <v>45.785699999999999</v>
      </c>
      <c r="AR55">
        <v>53</v>
      </c>
      <c r="AS55">
        <v>78.311099999999996</v>
      </c>
      <c r="AT55">
        <v>133</v>
      </c>
      <c r="AU55">
        <v>43.377800000000001</v>
      </c>
      <c r="AX55">
        <v>53</v>
      </c>
      <c r="AY55">
        <v>68.583299999999994</v>
      </c>
      <c r="AZ55">
        <v>111</v>
      </c>
      <c r="BA55">
        <v>31.291699999999999</v>
      </c>
      <c r="BD55">
        <v>53</v>
      </c>
      <c r="BE55">
        <v>68.066699999999997</v>
      </c>
      <c r="BF55">
        <v>108</v>
      </c>
      <c r="BG55">
        <v>19.7333</v>
      </c>
      <c r="BJ55">
        <v>53</v>
      </c>
      <c r="BK55">
        <v>92.135099999999994</v>
      </c>
      <c r="BL55">
        <v>127</v>
      </c>
      <c r="BM55">
        <v>29.4054</v>
      </c>
      <c r="BP55">
        <v>53</v>
      </c>
      <c r="BQ55">
        <v>100.7632</v>
      </c>
      <c r="BR55">
        <v>129</v>
      </c>
      <c r="BS55">
        <v>33.947400000000002</v>
      </c>
      <c r="BV55">
        <v>53</v>
      </c>
      <c r="BW55">
        <v>77.674999999999997</v>
      </c>
      <c r="BX55">
        <v>119</v>
      </c>
      <c r="BY55">
        <v>34.774999999999999</v>
      </c>
      <c r="CB55">
        <v>53</v>
      </c>
      <c r="CC55">
        <v>79.8</v>
      </c>
      <c r="CD55">
        <v>131</v>
      </c>
      <c r="CE55">
        <v>30.866700000000002</v>
      </c>
    </row>
    <row r="56" spans="2:83" x14ac:dyDescent="0.3">
      <c r="B56">
        <v>54</v>
      </c>
      <c r="C56">
        <v>94.157899999999998</v>
      </c>
      <c r="D56">
        <v>117</v>
      </c>
      <c r="E56">
        <v>28.263200000000001</v>
      </c>
      <c r="H56">
        <v>54</v>
      </c>
      <c r="I56">
        <v>94.4</v>
      </c>
      <c r="J56">
        <v>110</v>
      </c>
      <c r="K56">
        <v>25.84</v>
      </c>
      <c r="N56">
        <v>54</v>
      </c>
      <c r="O56">
        <v>95.2667</v>
      </c>
      <c r="P56">
        <v>118</v>
      </c>
      <c r="Q56">
        <v>32.2667</v>
      </c>
      <c r="T56">
        <v>54</v>
      </c>
      <c r="U56">
        <v>93.916700000000006</v>
      </c>
      <c r="V56">
        <v>127</v>
      </c>
      <c r="W56">
        <v>40.75</v>
      </c>
      <c r="Z56">
        <v>54</v>
      </c>
      <c r="AA56">
        <v>61.348799999999997</v>
      </c>
      <c r="AB56">
        <v>144</v>
      </c>
      <c r="AC56">
        <v>36.744199999999999</v>
      </c>
      <c r="AF56">
        <v>54</v>
      </c>
      <c r="AG56">
        <v>79.523799999999994</v>
      </c>
      <c r="AH56">
        <v>128</v>
      </c>
      <c r="AI56">
        <v>43.333300000000001</v>
      </c>
      <c r="AL56">
        <v>54</v>
      </c>
      <c r="AM56">
        <v>84.285700000000006</v>
      </c>
      <c r="AN56">
        <v>127</v>
      </c>
      <c r="AO56">
        <v>45.035699999999999</v>
      </c>
      <c r="AR56">
        <v>54</v>
      </c>
      <c r="AS56">
        <v>82</v>
      </c>
      <c r="AT56">
        <v>134</v>
      </c>
      <c r="AU56">
        <v>42.4</v>
      </c>
      <c r="AX56">
        <v>54</v>
      </c>
      <c r="AY56">
        <v>68.708299999999994</v>
      </c>
      <c r="AZ56">
        <v>112</v>
      </c>
      <c r="BA56">
        <v>31.041699999999999</v>
      </c>
      <c r="BD56">
        <v>54</v>
      </c>
      <c r="BE56">
        <v>67.633300000000006</v>
      </c>
      <c r="BF56">
        <v>109</v>
      </c>
      <c r="BG56">
        <v>19.2333</v>
      </c>
      <c r="BJ56">
        <v>54</v>
      </c>
      <c r="BK56">
        <v>92.621600000000001</v>
      </c>
      <c r="BL56">
        <v>128</v>
      </c>
      <c r="BM56">
        <v>29</v>
      </c>
      <c r="BP56">
        <v>54</v>
      </c>
      <c r="BQ56">
        <v>95.473699999999994</v>
      </c>
      <c r="BR56">
        <v>130</v>
      </c>
      <c r="BS56">
        <v>32.789499999999997</v>
      </c>
      <c r="BV56">
        <v>54</v>
      </c>
      <c r="BW56">
        <v>79.2</v>
      </c>
      <c r="BX56">
        <v>120</v>
      </c>
      <c r="BY56">
        <v>33.825000000000003</v>
      </c>
      <c r="CB56">
        <v>54</v>
      </c>
      <c r="CC56">
        <v>81.244399999999999</v>
      </c>
      <c r="CD56">
        <v>132</v>
      </c>
      <c r="CE56">
        <v>30.1111</v>
      </c>
    </row>
    <row r="57" spans="2:83" x14ac:dyDescent="0.3">
      <c r="B57">
        <v>55</v>
      </c>
      <c r="C57">
        <v>93.736800000000002</v>
      </c>
      <c r="D57">
        <v>118</v>
      </c>
      <c r="E57">
        <v>27.2895</v>
      </c>
      <c r="H57">
        <v>55</v>
      </c>
      <c r="I57">
        <v>94.96</v>
      </c>
      <c r="J57">
        <v>111</v>
      </c>
      <c r="K57">
        <v>25.56</v>
      </c>
      <c r="N57">
        <v>55</v>
      </c>
      <c r="O57">
        <v>96.633300000000006</v>
      </c>
      <c r="P57">
        <v>119</v>
      </c>
      <c r="Q57">
        <v>32.066699999999997</v>
      </c>
      <c r="T57">
        <v>55</v>
      </c>
      <c r="U57">
        <v>96.027799999999999</v>
      </c>
      <c r="V57">
        <v>128</v>
      </c>
      <c r="W57">
        <v>40.694400000000002</v>
      </c>
      <c r="Z57">
        <v>55</v>
      </c>
      <c r="AA57">
        <v>62.209299999999999</v>
      </c>
      <c r="AB57">
        <v>145</v>
      </c>
      <c r="AC57">
        <v>35.627899999999997</v>
      </c>
      <c r="AF57">
        <v>55</v>
      </c>
      <c r="AG57">
        <v>81.119</v>
      </c>
      <c r="AH57">
        <v>129</v>
      </c>
      <c r="AI57">
        <v>43</v>
      </c>
      <c r="AL57">
        <v>55</v>
      </c>
      <c r="AM57">
        <v>86.357100000000003</v>
      </c>
      <c r="AN57">
        <v>128</v>
      </c>
      <c r="AO57">
        <v>43.642899999999997</v>
      </c>
      <c r="AR57">
        <v>55</v>
      </c>
      <c r="AS57">
        <v>86.088899999999995</v>
      </c>
      <c r="AT57">
        <v>135</v>
      </c>
      <c r="AU57">
        <v>41.711100000000002</v>
      </c>
      <c r="AX57">
        <v>55</v>
      </c>
      <c r="AY57">
        <v>68.791700000000006</v>
      </c>
      <c r="AZ57">
        <v>113</v>
      </c>
      <c r="BA57">
        <v>30.541699999999999</v>
      </c>
      <c r="BJ57">
        <v>55</v>
      </c>
      <c r="BK57">
        <v>93.135099999999994</v>
      </c>
      <c r="BL57">
        <v>129</v>
      </c>
      <c r="BM57">
        <v>28.864899999999999</v>
      </c>
      <c r="BP57">
        <v>55</v>
      </c>
      <c r="BQ57">
        <v>91</v>
      </c>
      <c r="BR57">
        <v>131</v>
      </c>
      <c r="BS57">
        <v>32.131599999999999</v>
      </c>
      <c r="BV57">
        <v>55</v>
      </c>
      <c r="BW57">
        <v>80.099999999999994</v>
      </c>
      <c r="BX57">
        <v>121</v>
      </c>
      <c r="BY57">
        <v>32.774999999999999</v>
      </c>
      <c r="CB57">
        <v>55</v>
      </c>
      <c r="CC57">
        <v>82.666700000000006</v>
      </c>
      <c r="CD57">
        <v>133</v>
      </c>
      <c r="CE57">
        <v>29.977799999999998</v>
      </c>
    </row>
    <row r="58" spans="2:83" x14ac:dyDescent="0.3">
      <c r="B58">
        <v>56</v>
      </c>
      <c r="C58">
        <v>93.921099999999996</v>
      </c>
      <c r="D58">
        <v>119</v>
      </c>
      <c r="E58">
        <v>25.2105</v>
      </c>
      <c r="N58">
        <v>56</v>
      </c>
      <c r="O58">
        <v>97.333299999999994</v>
      </c>
      <c r="P58">
        <v>120</v>
      </c>
      <c r="Q58">
        <v>31.7667</v>
      </c>
      <c r="T58">
        <v>56</v>
      </c>
      <c r="U58">
        <v>97.027799999999999</v>
      </c>
      <c r="V58">
        <v>129</v>
      </c>
      <c r="W58">
        <v>40.416699999999999</v>
      </c>
      <c r="Z58">
        <v>56</v>
      </c>
      <c r="AA58">
        <v>62.558100000000003</v>
      </c>
      <c r="AB58">
        <v>146</v>
      </c>
      <c r="AC58">
        <v>36.627899999999997</v>
      </c>
      <c r="AF58">
        <v>56</v>
      </c>
      <c r="AG58">
        <v>83.166700000000006</v>
      </c>
      <c r="AH58">
        <v>130</v>
      </c>
      <c r="AI58">
        <v>42.333300000000001</v>
      </c>
      <c r="AL58">
        <v>56</v>
      </c>
      <c r="AM58">
        <v>88.535700000000006</v>
      </c>
      <c r="AN58">
        <v>129</v>
      </c>
      <c r="AO58">
        <v>42.357100000000003</v>
      </c>
      <c r="AR58">
        <v>56</v>
      </c>
      <c r="AS58">
        <v>89.7333</v>
      </c>
      <c r="AT58">
        <v>136</v>
      </c>
      <c r="AU58">
        <v>41.422199999999997</v>
      </c>
      <c r="AX58">
        <v>56</v>
      </c>
      <c r="AY58">
        <v>69.291700000000006</v>
      </c>
      <c r="AZ58">
        <v>114</v>
      </c>
      <c r="BA58">
        <v>30.041699999999999</v>
      </c>
      <c r="BJ58">
        <v>56</v>
      </c>
      <c r="BK58">
        <v>93.432400000000001</v>
      </c>
      <c r="BL58">
        <v>130</v>
      </c>
      <c r="BM58">
        <v>28.621600000000001</v>
      </c>
      <c r="BP58">
        <v>56</v>
      </c>
      <c r="BQ58">
        <v>88.8947</v>
      </c>
      <c r="BR58">
        <v>132</v>
      </c>
      <c r="BS58">
        <v>32.026299999999999</v>
      </c>
      <c r="BV58">
        <v>56</v>
      </c>
      <c r="BW58">
        <v>81.125</v>
      </c>
      <c r="BX58">
        <v>122</v>
      </c>
      <c r="BY58">
        <v>31.975000000000001</v>
      </c>
      <c r="CB58">
        <v>56</v>
      </c>
      <c r="CC58">
        <v>83.511099999999999</v>
      </c>
      <c r="CD58">
        <v>134</v>
      </c>
      <c r="CE58">
        <v>29.2</v>
      </c>
    </row>
    <row r="59" spans="2:83" x14ac:dyDescent="0.3">
      <c r="B59">
        <v>57</v>
      </c>
      <c r="C59">
        <v>95.078900000000004</v>
      </c>
      <c r="D59">
        <v>120</v>
      </c>
      <c r="E59">
        <v>23.526299999999999</v>
      </c>
      <c r="N59">
        <v>57</v>
      </c>
      <c r="O59">
        <v>97.1</v>
      </c>
      <c r="P59">
        <v>121</v>
      </c>
      <c r="Q59">
        <v>31.2667</v>
      </c>
      <c r="T59">
        <v>57</v>
      </c>
      <c r="U59">
        <v>98.305599999999998</v>
      </c>
      <c r="V59">
        <v>130</v>
      </c>
      <c r="W59">
        <v>39.222200000000001</v>
      </c>
      <c r="Z59">
        <v>57</v>
      </c>
      <c r="AA59">
        <v>63</v>
      </c>
      <c r="AB59">
        <v>147</v>
      </c>
      <c r="AC59">
        <v>36.325600000000001</v>
      </c>
      <c r="AF59">
        <v>57</v>
      </c>
      <c r="AG59">
        <v>86.142899999999997</v>
      </c>
      <c r="AH59">
        <v>131</v>
      </c>
      <c r="AI59">
        <v>41.547600000000003</v>
      </c>
      <c r="AL59">
        <v>57</v>
      </c>
      <c r="AM59">
        <v>91.214299999999994</v>
      </c>
      <c r="AN59">
        <v>130</v>
      </c>
      <c r="AO59">
        <v>41.107100000000003</v>
      </c>
      <c r="AR59">
        <v>57</v>
      </c>
      <c r="AS59">
        <v>92.488900000000001</v>
      </c>
      <c r="AT59">
        <v>137</v>
      </c>
      <c r="AU59">
        <v>40.577800000000003</v>
      </c>
      <c r="AX59">
        <v>57</v>
      </c>
      <c r="AY59">
        <v>69.291700000000006</v>
      </c>
      <c r="AZ59">
        <v>115</v>
      </c>
      <c r="BA59">
        <v>29.291699999999999</v>
      </c>
      <c r="BJ59">
        <v>57</v>
      </c>
      <c r="BK59">
        <v>93.4054</v>
      </c>
      <c r="BL59">
        <v>131</v>
      </c>
      <c r="BM59">
        <v>28.054099999999998</v>
      </c>
      <c r="BP59">
        <v>57</v>
      </c>
      <c r="BQ59">
        <v>87.263199999999998</v>
      </c>
      <c r="BR59">
        <v>133</v>
      </c>
      <c r="BS59">
        <v>32.131599999999999</v>
      </c>
      <c r="BV59">
        <v>57</v>
      </c>
      <c r="BW59">
        <v>82.4</v>
      </c>
      <c r="BX59">
        <v>123</v>
      </c>
      <c r="BY59">
        <v>31.524999999999999</v>
      </c>
      <c r="CB59">
        <v>57</v>
      </c>
      <c r="CC59">
        <v>84.533299999999997</v>
      </c>
      <c r="CD59">
        <v>135</v>
      </c>
      <c r="CE59">
        <v>28.177800000000001</v>
      </c>
    </row>
    <row r="60" spans="2:83" x14ac:dyDescent="0.3">
      <c r="B60">
        <v>58</v>
      </c>
      <c r="C60">
        <v>96.421099999999996</v>
      </c>
      <c r="D60">
        <v>121</v>
      </c>
      <c r="E60">
        <v>22.631599999999999</v>
      </c>
      <c r="N60">
        <v>58</v>
      </c>
      <c r="O60">
        <v>96.7667</v>
      </c>
      <c r="P60">
        <v>122</v>
      </c>
      <c r="Q60">
        <v>30.666699999999999</v>
      </c>
      <c r="T60">
        <v>58</v>
      </c>
      <c r="U60">
        <v>100.25</v>
      </c>
      <c r="V60">
        <v>131</v>
      </c>
      <c r="W60">
        <v>38.222200000000001</v>
      </c>
      <c r="Z60">
        <v>58</v>
      </c>
      <c r="AA60">
        <v>63.209299999999999</v>
      </c>
      <c r="AB60">
        <v>148</v>
      </c>
      <c r="AC60">
        <v>36.023299999999999</v>
      </c>
      <c r="AF60">
        <v>58</v>
      </c>
      <c r="AG60">
        <v>88.904799999999994</v>
      </c>
      <c r="AH60">
        <v>132</v>
      </c>
      <c r="AI60">
        <v>40.571399999999997</v>
      </c>
      <c r="AL60">
        <v>58</v>
      </c>
      <c r="AM60">
        <v>94.321399999999997</v>
      </c>
      <c r="AN60">
        <v>131</v>
      </c>
      <c r="AO60">
        <v>40.214300000000001</v>
      </c>
      <c r="AR60">
        <v>58</v>
      </c>
      <c r="AS60">
        <v>93.177800000000005</v>
      </c>
      <c r="AT60">
        <v>138</v>
      </c>
      <c r="AU60">
        <v>39</v>
      </c>
      <c r="BJ60">
        <v>58</v>
      </c>
      <c r="BK60">
        <v>93.432400000000001</v>
      </c>
      <c r="BL60">
        <v>132</v>
      </c>
      <c r="BM60">
        <v>27.540500000000002</v>
      </c>
      <c r="BP60">
        <v>58</v>
      </c>
      <c r="BQ60">
        <v>85.921099999999996</v>
      </c>
      <c r="BR60">
        <v>134</v>
      </c>
      <c r="BS60">
        <v>32.131599999999999</v>
      </c>
      <c r="BV60">
        <v>58</v>
      </c>
      <c r="BW60">
        <v>83.424999999999997</v>
      </c>
      <c r="BX60">
        <v>124</v>
      </c>
      <c r="BY60">
        <v>30.824999999999999</v>
      </c>
      <c r="CB60">
        <v>58</v>
      </c>
      <c r="CC60">
        <v>86.2</v>
      </c>
      <c r="CD60">
        <v>136</v>
      </c>
      <c r="CE60">
        <v>27.466699999999999</v>
      </c>
    </row>
    <row r="61" spans="2:83" x14ac:dyDescent="0.3">
      <c r="B61">
        <v>59</v>
      </c>
      <c r="C61">
        <v>97.578900000000004</v>
      </c>
      <c r="D61">
        <v>122</v>
      </c>
      <c r="E61">
        <v>22.342099999999999</v>
      </c>
      <c r="N61">
        <v>59</v>
      </c>
      <c r="O61">
        <v>97</v>
      </c>
      <c r="P61">
        <v>123</v>
      </c>
      <c r="Q61">
        <v>30.466699999999999</v>
      </c>
      <c r="T61">
        <v>59</v>
      </c>
      <c r="U61">
        <v>102.3056</v>
      </c>
      <c r="V61">
        <v>132</v>
      </c>
      <c r="W61">
        <v>37.1111</v>
      </c>
      <c r="Z61">
        <v>59</v>
      </c>
      <c r="AA61">
        <v>63.069800000000001</v>
      </c>
      <c r="AB61">
        <v>149</v>
      </c>
      <c r="AC61">
        <v>36.162799999999997</v>
      </c>
      <c r="AF61">
        <v>59</v>
      </c>
      <c r="AG61">
        <v>91.6905</v>
      </c>
      <c r="AH61">
        <v>133</v>
      </c>
      <c r="AI61">
        <v>39.761899999999997</v>
      </c>
      <c r="AL61">
        <v>59</v>
      </c>
      <c r="AM61">
        <v>97.142899999999997</v>
      </c>
      <c r="AN61">
        <v>132</v>
      </c>
      <c r="AO61">
        <v>39.785699999999999</v>
      </c>
      <c r="AR61">
        <v>59</v>
      </c>
      <c r="AS61">
        <v>93.044399999999996</v>
      </c>
      <c r="AT61">
        <v>139</v>
      </c>
      <c r="AU61">
        <v>37.2667</v>
      </c>
      <c r="BJ61">
        <v>59</v>
      </c>
      <c r="BK61">
        <v>93.729699999999994</v>
      </c>
      <c r="BL61">
        <v>133</v>
      </c>
      <c r="BM61">
        <v>26.8108</v>
      </c>
      <c r="BP61">
        <v>59</v>
      </c>
      <c r="BQ61">
        <v>86.868399999999994</v>
      </c>
      <c r="BR61">
        <v>135</v>
      </c>
      <c r="BS61">
        <v>31.8947</v>
      </c>
      <c r="BV61">
        <v>59</v>
      </c>
      <c r="BW61">
        <v>84.25</v>
      </c>
      <c r="BX61">
        <v>125</v>
      </c>
      <c r="BY61">
        <v>30.2</v>
      </c>
      <c r="CB61">
        <v>59</v>
      </c>
      <c r="CC61">
        <v>87.044399999999996</v>
      </c>
      <c r="CD61">
        <v>137</v>
      </c>
      <c r="CE61">
        <v>26.8889</v>
      </c>
    </row>
    <row r="62" spans="2:83" x14ac:dyDescent="0.3">
      <c r="B62">
        <v>60</v>
      </c>
      <c r="C62">
        <v>97.947400000000002</v>
      </c>
      <c r="D62">
        <v>123</v>
      </c>
      <c r="E62">
        <v>21.6053</v>
      </c>
      <c r="N62">
        <v>60</v>
      </c>
      <c r="O62">
        <v>97.633300000000006</v>
      </c>
      <c r="P62">
        <v>124</v>
      </c>
      <c r="Q62">
        <v>30.6</v>
      </c>
      <c r="T62">
        <v>60</v>
      </c>
      <c r="U62">
        <v>102.86109999999999</v>
      </c>
      <c r="V62">
        <v>133</v>
      </c>
      <c r="W62">
        <v>36.833300000000001</v>
      </c>
      <c r="Z62">
        <v>60</v>
      </c>
      <c r="AA62">
        <v>63.325600000000001</v>
      </c>
      <c r="AB62">
        <v>150</v>
      </c>
      <c r="AC62">
        <v>35.837200000000003</v>
      </c>
      <c r="AF62">
        <v>60</v>
      </c>
      <c r="AG62">
        <v>93.476200000000006</v>
      </c>
      <c r="AH62">
        <v>134</v>
      </c>
      <c r="AI62">
        <v>39.119</v>
      </c>
      <c r="AL62">
        <v>60</v>
      </c>
      <c r="AM62">
        <v>100.1786</v>
      </c>
      <c r="AN62">
        <v>133</v>
      </c>
      <c r="AO62">
        <v>39.392899999999997</v>
      </c>
      <c r="AR62">
        <v>60</v>
      </c>
      <c r="AS62">
        <v>92.866699999999994</v>
      </c>
      <c r="AT62">
        <v>140</v>
      </c>
      <c r="AU62">
        <v>36.377800000000001</v>
      </c>
      <c r="BJ62">
        <v>60</v>
      </c>
      <c r="BK62">
        <v>94.324299999999994</v>
      </c>
      <c r="BL62">
        <v>134</v>
      </c>
      <c r="BM62">
        <v>25.918900000000001</v>
      </c>
      <c r="BP62">
        <v>60</v>
      </c>
      <c r="BQ62">
        <v>88.184200000000004</v>
      </c>
      <c r="BR62">
        <v>136</v>
      </c>
      <c r="BS62">
        <v>31.236799999999999</v>
      </c>
      <c r="BV62">
        <v>60</v>
      </c>
      <c r="BW62">
        <v>84.35</v>
      </c>
      <c r="BX62">
        <v>126</v>
      </c>
      <c r="BY62">
        <v>29.625</v>
      </c>
      <c r="CB62">
        <v>60</v>
      </c>
      <c r="CC62">
        <v>87.111099999999993</v>
      </c>
      <c r="CD62">
        <v>138</v>
      </c>
      <c r="CE62">
        <v>26.377800000000001</v>
      </c>
    </row>
    <row r="63" spans="2:83" x14ac:dyDescent="0.3">
      <c r="B63">
        <v>61</v>
      </c>
      <c r="C63">
        <v>98.236800000000002</v>
      </c>
      <c r="D63">
        <v>124</v>
      </c>
      <c r="E63">
        <v>20.184200000000001</v>
      </c>
      <c r="N63">
        <v>61</v>
      </c>
      <c r="O63">
        <v>97.9</v>
      </c>
      <c r="P63">
        <v>125</v>
      </c>
      <c r="Q63">
        <v>29.933299999999999</v>
      </c>
      <c r="T63">
        <v>61</v>
      </c>
      <c r="U63">
        <v>102.9444</v>
      </c>
      <c r="V63">
        <v>134</v>
      </c>
      <c r="W63">
        <v>36.5</v>
      </c>
      <c r="Z63">
        <v>61</v>
      </c>
      <c r="AA63">
        <v>64.488399999999999</v>
      </c>
      <c r="AB63">
        <v>151</v>
      </c>
      <c r="AC63">
        <v>34.697699999999998</v>
      </c>
      <c r="AF63">
        <v>61</v>
      </c>
      <c r="AG63">
        <v>94.571399999999997</v>
      </c>
      <c r="AH63">
        <v>135</v>
      </c>
      <c r="AI63">
        <v>38.952399999999997</v>
      </c>
      <c r="AL63">
        <v>61</v>
      </c>
      <c r="AM63">
        <v>103.1429</v>
      </c>
      <c r="AN63">
        <v>134</v>
      </c>
      <c r="AO63">
        <v>38.25</v>
      </c>
      <c r="AR63">
        <v>61</v>
      </c>
      <c r="AS63">
        <v>92.933300000000003</v>
      </c>
      <c r="AT63">
        <v>141</v>
      </c>
      <c r="AU63">
        <v>35.466700000000003</v>
      </c>
      <c r="BJ63">
        <v>61</v>
      </c>
      <c r="BK63">
        <v>94.918899999999994</v>
      </c>
      <c r="BL63">
        <v>135</v>
      </c>
      <c r="BM63">
        <v>25.2973</v>
      </c>
      <c r="BP63">
        <v>61</v>
      </c>
      <c r="BQ63">
        <v>88.789500000000004</v>
      </c>
      <c r="BR63">
        <v>137</v>
      </c>
      <c r="BS63">
        <v>30.473700000000001</v>
      </c>
      <c r="BV63">
        <v>61</v>
      </c>
      <c r="BW63">
        <v>84.55</v>
      </c>
      <c r="BX63">
        <v>127</v>
      </c>
      <c r="BY63">
        <v>29.225000000000001</v>
      </c>
      <c r="CB63">
        <v>61</v>
      </c>
      <c r="CC63">
        <v>87.644400000000005</v>
      </c>
      <c r="CD63">
        <v>139</v>
      </c>
      <c r="CE63">
        <v>25.288900000000002</v>
      </c>
    </row>
    <row r="64" spans="2:83" x14ac:dyDescent="0.3">
      <c r="B64">
        <v>62</v>
      </c>
      <c r="C64">
        <v>98.526300000000006</v>
      </c>
      <c r="D64">
        <v>125</v>
      </c>
      <c r="E64">
        <v>19.131599999999999</v>
      </c>
      <c r="N64">
        <v>62</v>
      </c>
      <c r="O64">
        <v>97.966700000000003</v>
      </c>
      <c r="P64">
        <v>126</v>
      </c>
      <c r="Q64">
        <v>29.333300000000001</v>
      </c>
      <c r="T64">
        <v>62</v>
      </c>
      <c r="U64">
        <v>103.2222</v>
      </c>
      <c r="V64">
        <v>135</v>
      </c>
      <c r="W64">
        <v>35.694400000000002</v>
      </c>
      <c r="Z64">
        <v>62</v>
      </c>
      <c r="AA64">
        <v>65.697699999999998</v>
      </c>
      <c r="AB64">
        <v>152</v>
      </c>
      <c r="AC64">
        <v>32.906999999999996</v>
      </c>
      <c r="AF64">
        <v>62</v>
      </c>
      <c r="AG64">
        <v>95.785700000000006</v>
      </c>
      <c r="AH64">
        <v>136</v>
      </c>
      <c r="AI64">
        <v>38.404800000000002</v>
      </c>
      <c r="AL64">
        <v>62</v>
      </c>
      <c r="AM64">
        <v>105.5714</v>
      </c>
      <c r="AN64">
        <v>135</v>
      </c>
      <c r="AO64">
        <v>37.178600000000003</v>
      </c>
      <c r="AR64">
        <v>62</v>
      </c>
      <c r="AS64">
        <v>92.933300000000003</v>
      </c>
      <c r="AT64">
        <v>142</v>
      </c>
      <c r="AU64">
        <v>34.955599999999997</v>
      </c>
      <c r="BJ64">
        <v>62</v>
      </c>
      <c r="BK64">
        <v>94.945899999999995</v>
      </c>
      <c r="BL64">
        <v>136</v>
      </c>
      <c r="BM64">
        <v>24.351400000000002</v>
      </c>
      <c r="BP64">
        <v>62</v>
      </c>
      <c r="BQ64">
        <v>91.631600000000006</v>
      </c>
      <c r="BR64">
        <v>138</v>
      </c>
      <c r="BS64">
        <v>30.078900000000001</v>
      </c>
      <c r="BV64">
        <v>62</v>
      </c>
      <c r="BW64">
        <v>84.65</v>
      </c>
      <c r="BX64">
        <v>128</v>
      </c>
      <c r="BY64">
        <v>28.774999999999999</v>
      </c>
      <c r="CB64">
        <v>62</v>
      </c>
      <c r="CC64">
        <v>87.888900000000007</v>
      </c>
      <c r="CD64">
        <v>140</v>
      </c>
      <c r="CE64">
        <v>24.377800000000001</v>
      </c>
    </row>
    <row r="65" spans="14:83" x14ac:dyDescent="0.3">
      <c r="N65">
        <v>63</v>
      </c>
      <c r="O65">
        <v>97.7667</v>
      </c>
      <c r="P65">
        <v>127</v>
      </c>
      <c r="Q65">
        <v>29.033300000000001</v>
      </c>
      <c r="T65">
        <v>63</v>
      </c>
      <c r="U65">
        <v>103.25</v>
      </c>
      <c r="V65">
        <v>136</v>
      </c>
      <c r="W65">
        <v>34.666699999999999</v>
      </c>
      <c r="Z65">
        <v>63</v>
      </c>
      <c r="AA65">
        <v>66.813999999999993</v>
      </c>
      <c r="AB65">
        <v>153</v>
      </c>
      <c r="AC65">
        <v>30.953499999999998</v>
      </c>
      <c r="AF65">
        <v>63</v>
      </c>
      <c r="AG65">
        <v>96.904799999999994</v>
      </c>
      <c r="AH65">
        <v>137</v>
      </c>
      <c r="AI65">
        <v>38.261899999999997</v>
      </c>
      <c r="AL65">
        <v>63</v>
      </c>
      <c r="AM65">
        <v>107.6786</v>
      </c>
      <c r="AN65">
        <v>136</v>
      </c>
      <c r="AO65">
        <v>36.535699999999999</v>
      </c>
      <c r="AR65">
        <v>63</v>
      </c>
      <c r="AS65">
        <v>93.2</v>
      </c>
      <c r="AT65">
        <v>143</v>
      </c>
      <c r="AU65">
        <v>34.488900000000001</v>
      </c>
      <c r="BJ65">
        <v>63</v>
      </c>
      <c r="BK65">
        <v>95.108099999999993</v>
      </c>
      <c r="BL65">
        <v>137</v>
      </c>
      <c r="BM65">
        <v>23.459499999999998</v>
      </c>
      <c r="BP65">
        <v>63</v>
      </c>
      <c r="BQ65">
        <v>97.263199999999998</v>
      </c>
      <c r="BR65">
        <v>139</v>
      </c>
      <c r="BS65">
        <v>29.921099999999999</v>
      </c>
      <c r="BV65">
        <v>63</v>
      </c>
      <c r="BW65">
        <v>84.525000000000006</v>
      </c>
      <c r="BX65">
        <v>129</v>
      </c>
      <c r="BY65">
        <v>28.625</v>
      </c>
      <c r="CB65">
        <v>63</v>
      </c>
      <c r="CC65">
        <v>87.6</v>
      </c>
      <c r="CD65">
        <v>141</v>
      </c>
      <c r="CE65">
        <v>23.866700000000002</v>
      </c>
    </row>
    <row r="66" spans="14:83" x14ac:dyDescent="0.3">
      <c r="T66">
        <v>64</v>
      </c>
      <c r="U66">
        <v>103.13890000000001</v>
      </c>
      <c r="V66">
        <v>137</v>
      </c>
      <c r="W66">
        <v>34.055599999999998</v>
      </c>
      <c r="Z66">
        <v>64</v>
      </c>
      <c r="AA66">
        <v>67.790700000000001</v>
      </c>
      <c r="AB66">
        <v>154</v>
      </c>
      <c r="AC66">
        <v>29.5581</v>
      </c>
      <c r="AF66">
        <v>64</v>
      </c>
      <c r="AG66">
        <v>97.761899999999997</v>
      </c>
      <c r="AH66">
        <v>138</v>
      </c>
      <c r="AI66">
        <v>37.595199999999998</v>
      </c>
      <c r="AL66">
        <v>64</v>
      </c>
      <c r="AM66">
        <v>110.03570000000001</v>
      </c>
      <c r="AN66">
        <v>137</v>
      </c>
      <c r="AO66">
        <v>36.464300000000001</v>
      </c>
      <c r="AR66">
        <v>64</v>
      </c>
      <c r="AS66">
        <v>94.133300000000006</v>
      </c>
      <c r="AT66">
        <v>144</v>
      </c>
      <c r="AU66">
        <v>34.133299999999998</v>
      </c>
      <c r="BJ66">
        <v>64</v>
      </c>
      <c r="BK66">
        <v>95.351299999999995</v>
      </c>
      <c r="BL66">
        <v>138</v>
      </c>
      <c r="BM66">
        <v>22.945900000000002</v>
      </c>
      <c r="BP66">
        <v>64</v>
      </c>
      <c r="BQ66">
        <v>102.86839999999999</v>
      </c>
      <c r="BR66">
        <v>140</v>
      </c>
      <c r="BS66">
        <v>29.631599999999999</v>
      </c>
      <c r="BV66">
        <v>64</v>
      </c>
      <c r="BW66">
        <v>84.474999999999994</v>
      </c>
      <c r="BX66">
        <v>130</v>
      </c>
      <c r="BY66">
        <v>28.75</v>
      </c>
      <c r="CB66">
        <v>64</v>
      </c>
      <c r="CC66">
        <v>87.4</v>
      </c>
      <c r="CD66">
        <v>142</v>
      </c>
      <c r="CE66">
        <v>23.3111</v>
      </c>
    </row>
    <row r="67" spans="14:83" x14ac:dyDescent="0.3">
      <c r="T67">
        <v>65</v>
      </c>
      <c r="U67">
        <v>103.08329999999999</v>
      </c>
      <c r="V67">
        <v>138</v>
      </c>
      <c r="W67">
        <v>33.8889</v>
      </c>
      <c r="Z67">
        <v>65</v>
      </c>
      <c r="AA67">
        <v>69.744200000000006</v>
      </c>
      <c r="AB67">
        <v>155</v>
      </c>
      <c r="AC67">
        <v>29.418600000000001</v>
      </c>
      <c r="AF67">
        <v>65</v>
      </c>
      <c r="AG67">
        <v>98.095200000000006</v>
      </c>
      <c r="AH67">
        <v>139</v>
      </c>
      <c r="AI67">
        <v>37.071399999999997</v>
      </c>
      <c r="AL67">
        <v>65</v>
      </c>
      <c r="AM67">
        <v>111.3214</v>
      </c>
      <c r="AN67">
        <v>138</v>
      </c>
      <c r="AO67">
        <v>36.571399999999997</v>
      </c>
      <c r="AR67">
        <v>65</v>
      </c>
      <c r="AS67">
        <v>95.2</v>
      </c>
      <c r="AT67">
        <v>145</v>
      </c>
      <c r="AU67">
        <v>33.7333</v>
      </c>
      <c r="BJ67">
        <v>65</v>
      </c>
      <c r="BK67">
        <v>95.378399999999999</v>
      </c>
      <c r="BL67">
        <v>139</v>
      </c>
      <c r="BM67">
        <v>22.486499999999999</v>
      </c>
      <c r="BP67">
        <v>65</v>
      </c>
      <c r="BQ67">
        <v>106.2895</v>
      </c>
      <c r="BR67">
        <v>141</v>
      </c>
      <c r="BS67">
        <v>29.368400000000001</v>
      </c>
      <c r="BV67">
        <v>65</v>
      </c>
      <c r="BW67">
        <v>84.174999999999997</v>
      </c>
      <c r="BX67">
        <v>131</v>
      </c>
      <c r="BY67">
        <v>28.725000000000001</v>
      </c>
      <c r="CB67">
        <v>65</v>
      </c>
      <c r="CC67">
        <v>87.422200000000004</v>
      </c>
      <c r="CD67">
        <v>143</v>
      </c>
      <c r="CE67">
        <v>22.3111</v>
      </c>
    </row>
    <row r="68" spans="14:83" x14ac:dyDescent="0.3">
      <c r="T68">
        <v>66</v>
      </c>
      <c r="U68">
        <v>103.2222</v>
      </c>
      <c r="V68">
        <v>139</v>
      </c>
      <c r="W68">
        <v>33.527799999999999</v>
      </c>
      <c r="Z68">
        <v>66</v>
      </c>
      <c r="AA68">
        <v>72.418599999999998</v>
      </c>
      <c r="AB68">
        <v>156</v>
      </c>
      <c r="AC68">
        <v>29.604700000000001</v>
      </c>
      <c r="AF68">
        <v>66</v>
      </c>
      <c r="AG68">
        <v>98.428600000000003</v>
      </c>
      <c r="AH68">
        <v>140</v>
      </c>
      <c r="AI68">
        <v>36.3095</v>
      </c>
      <c r="AL68">
        <v>66</v>
      </c>
      <c r="AM68">
        <v>111.28570000000001</v>
      </c>
      <c r="AN68">
        <v>139</v>
      </c>
      <c r="AO68">
        <v>36.892899999999997</v>
      </c>
      <c r="AR68">
        <v>66</v>
      </c>
      <c r="AS68">
        <v>96.555599999999998</v>
      </c>
      <c r="AT68">
        <v>146</v>
      </c>
      <c r="AU68">
        <v>33.688899999999997</v>
      </c>
      <c r="BJ68">
        <v>66</v>
      </c>
      <c r="BK68">
        <v>95.702699999999993</v>
      </c>
      <c r="BL68">
        <v>140</v>
      </c>
      <c r="BM68">
        <v>21.972999999999999</v>
      </c>
      <c r="BP68">
        <v>66</v>
      </c>
      <c r="BQ68">
        <v>108.0789</v>
      </c>
      <c r="BR68">
        <v>142</v>
      </c>
      <c r="BS68">
        <v>29.315799999999999</v>
      </c>
      <c r="CB68">
        <v>66</v>
      </c>
      <c r="CC68">
        <v>87.333299999999994</v>
      </c>
      <c r="CD68">
        <v>144</v>
      </c>
      <c r="CE68">
        <v>21.8889</v>
      </c>
    </row>
    <row r="69" spans="14:83" x14ac:dyDescent="0.3">
      <c r="T69">
        <v>67</v>
      </c>
      <c r="U69">
        <v>102.83329999999999</v>
      </c>
      <c r="V69">
        <v>140</v>
      </c>
      <c r="W69">
        <v>33.3889</v>
      </c>
      <c r="Z69">
        <v>67</v>
      </c>
      <c r="AA69">
        <v>74.465100000000007</v>
      </c>
      <c r="AB69">
        <v>157</v>
      </c>
      <c r="AC69">
        <v>29.883700000000001</v>
      </c>
      <c r="AF69">
        <v>67</v>
      </c>
      <c r="AG69">
        <v>98.761899999999997</v>
      </c>
      <c r="AH69">
        <v>141</v>
      </c>
      <c r="AI69">
        <v>35.381</v>
      </c>
      <c r="AL69">
        <v>67</v>
      </c>
      <c r="AM69">
        <v>110.8929</v>
      </c>
      <c r="AN69">
        <v>140</v>
      </c>
      <c r="AO69">
        <v>36.785699999999999</v>
      </c>
      <c r="AR69">
        <v>67</v>
      </c>
      <c r="AS69">
        <v>97.644400000000005</v>
      </c>
      <c r="AT69">
        <v>147</v>
      </c>
      <c r="AU69">
        <v>33.799999999999997</v>
      </c>
      <c r="BJ69">
        <v>67</v>
      </c>
      <c r="BK69">
        <v>96.1892</v>
      </c>
      <c r="BL69">
        <v>141</v>
      </c>
      <c r="BM69">
        <v>21.4054</v>
      </c>
      <c r="BP69">
        <v>67</v>
      </c>
      <c r="BQ69">
        <v>108.6842</v>
      </c>
      <c r="BR69">
        <v>143</v>
      </c>
      <c r="BS69">
        <v>29.2895</v>
      </c>
      <c r="CB69">
        <v>67</v>
      </c>
      <c r="CC69">
        <v>87.111099999999993</v>
      </c>
      <c r="CD69">
        <v>145</v>
      </c>
      <c r="CE69">
        <v>21.4</v>
      </c>
    </row>
    <row r="70" spans="14:83" x14ac:dyDescent="0.3">
      <c r="T70">
        <v>68</v>
      </c>
      <c r="U70">
        <v>102.61109999999999</v>
      </c>
      <c r="V70">
        <v>141</v>
      </c>
      <c r="W70">
        <v>33.166699999999999</v>
      </c>
      <c r="Z70">
        <v>68</v>
      </c>
      <c r="AA70">
        <v>76.441900000000004</v>
      </c>
      <c r="AB70">
        <v>158</v>
      </c>
      <c r="AC70">
        <v>30.255800000000001</v>
      </c>
      <c r="AF70">
        <v>68</v>
      </c>
      <c r="AG70">
        <v>98.904799999999994</v>
      </c>
      <c r="AH70">
        <v>142</v>
      </c>
      <c r="AI70">
        <v>34.547600000000003</v>
      </c>
      <c r="AL70">
        <v>68</v>
      </c>
      <c r="AM70">
        <v>111.4286</v>
      </c>
      <c r="AN70">
        <v>141</v>
      </c>
      <c r="AO70">
        <v>36.285699999999999</v>
      </c>
      <c r="AR70">
        <v>68</v>
      </c>
      <c r="AS70">
        <v>98.688900000000004</v>
      </c>
      <c r="AT70">
        <v>148</v>
      </c>
      <c r="AU70">
        <v>33.4</v>
      </c>
      <c r="BJ70">
        <v>68</v>
      </c>
      <c r="BK70">
        <v>96.351299999999995</v>
      </c>
      <c r="BL70">
        <v>142</v>
      </c>
      <c r="BM70">
        <v>20.837800000000001</v>
      </c>
      <c r="BP70">
        <v>68</v>
      </c>
      <c r="BQ70">
        <v>108</v>
      </c>
      <c r="BR70">
        <v>144</v>
      </c>
      <c r="BS70">
        <v>29.157900000000001</v>
      </c>
      <c r="CB70">
        <v>68</v>
      </c>
      <c r="CC70">
        <v>87.311099999999996</v>
      </c>
      <c r="CD70">
        <v>146</v>
      </c>
      <c r="CE70">
        <v>20.777799999999999</v>
      </c>
    </row>
    <row r="71" spans="14:83" x14ac:dyDescent="0.3">
      <c r="T71">
        <v>69</v>
      </c>
      <c r="U71">
        <v>102.5556</v>
      </c>
      <c r="V71">
        <v>142</v>
      </c>
      <c r="W71">
        <v>33.055599999999998</v>
      </c>
      <c r="Z71">
        <v>69</v>
      </c>
      <c r="AA71">
        <v>78.302300000000002</v>
      </c>
      <c r="AB71">
        <v>159</v>
      </c>
      <c r="AC71">
        <v>30.046500000000002</v>
      </c>
      <c r="AF71">
        <v>69</v>
      </c>
      <c r="AG71">
        <v>99</v>
      </c>
      <c r="AH71">
        <v>143</v>
      </c>
      <c r="AI71">
        <v>33.833300000000001</v>
      </c>
      <c r="AL71">
        <v>69</v>
      </c>
      <c r="AM71">
        <v>112.3214</v>
      </c>
      <c r="AN71">
        <v>142</v>
      </c>
      <c r="AO71">
        <v>35.178600000000003</v>
      </c>
      <c r="AR71">
        <v>69</v>
      </c>
      <c r="AS71">
        <v>99.244399999999999</v>
      </c>
      <c r="AT71">
        <v>149</v>
      </c>
      <c r="AU71">
        <v>32.333300000000001</v>
      </c>
      <c r="BJ71">
        <v>69</v>
      </c>
      <c r="BK71">
        <v>96.486500000000007</v>
      </c>
      <c r="BL71">
        <v>143</v>
      </c>
      <c r="BM71">
        <v>20.432400000000001</v>
      </c>
      <c r="BP71">
        <v>69</v>
      </c>
      <c r="BQ71">
        <v>106.47369999999999</v>
      </c>
      <c r="BR71">
        <v>145</v>
      </c>
      <c r="BS71">
        <v>29.184200000000001</v>
      </c>
      <c r="CB71">
        <v>69</v>
      </c>
      <c r="CC71">
        <v>87.444400000000002</v>
      </c>
      <c r="CD71">
        <v>147</v>
      </c>
      <c r="CE71">
        <v>20.533300000000001</v>
      </c>
    </row>
    <row r="72" spans="14:83" x14ac:dyDescent="0.3">
      <c r="T72">
        <v>70</v>
      </c>
      <c r="U72">
        <v>102.41670000000001</v>
      </c>
      <c r="V72">
        <v>143</v>
      </c>
      <c r="W72">
        <v>33</v>
      </c>
      <c r="Z72">
        <v>70</v>
      </c>
      <c r="AA72">
        <v>82.046499999999995</v>
      </c>
      <c r="AB72">
        <v>160</v>
      </c>
      <c r="AC72">
        <v>29</v>
      </c>
      <c r="AF72">
        <v>70</v>
      </c>
      <c r="AG72">
        <v>99.166700000000006</v>
      </c>
      <c r="AH72">
        <v>144</v>
      </c>
      <c r="AI72">
        <v>33.381</v>
      </c>
      <c r="AL72">
        <v>70</v>
      </c>
      <c r="AM72">
        <v>113.1429</v>
      </c>
      <c r="AN72">
        <v>143</v>
      </c>
      <c r="AO72">
        <v>34.678600000000003</v>
      </c>
      <c r="AR72">
        <v>70</v>
      </c>
      <c r="AS72">
        <v>99.044399999999996</v>
      </c>
      <c r="AT72">
        <v>150</v>
      </c>
      <c r="AU72">
        <v>31.177800000000001</v>
      </c>
      <c r="BJ72">
        <v>70</v>
      </c>
      <c r="BK72">
        <v>96.972999999999999</v>
      </c>
      <c r="BL72">
        <v>144</v>
      </c>
      <c r="BM72">
        <v>20.270299999999999</v>
      </c>
      <c r="BP72">
        <v>70</v>
      </c>
      <c r="BQ72">
        <v>105.6842</v>
      </c>
      <c r="BR72">
        <v>146</v>
      </c>
      <c r="BS72">
        <v>28.6053</v>
      </c>
      <c r="CB72">
        <v>70</v>
      </c>
      <c r="CC72">
        <v>87.2</v>
      </c>
      <c r="CD72">
        <v>148</v>
      </c>
      <c r="CE72">
        <v>19.933299999999999</v>
      </c>
    </row>
    <row r="73" spans="14:83" x14ac:dyDescent="0.3">
      <c r="T73">
        <v>71</v>
      </c>
      <c r="U73">
        <v>102.4722</v>
      </c>
      <c r="V73">
        <v>144</v>
      </c>
      <c r="W73">
        <v>32.666699999999999</v>
      </c>
      <c r="Z73">
        <v>71</v>
      </c>
      <c r="AA73">
        <v>84.674400000000006</v>
      </c>
      <c r="AB73">
        <v>161</v>
      </c>
      <c r="AC73">
        <v>27.790700000000001</v>
      </c>
      <c r="AF73">
        <v>71</v>
      </c>
      <c r="AG73">
        <v>99.619</v>
      </c>
      <c r="AH73">
        <v>145</v>
      </c>
      <c r="AI73">
        <v>33.119</v>
      </c>
      <c r="AL73">
        <v>71</v>
      </c>
      <c r="AM73">
        <v>113.4286</v>
      </c>
      <c r="AN73">
        <v>144</v>
      </c>
      <c r="AO73">
        <v>34.392899999999997</v>
      </c>
      <c r="AR73">
        <v>71</v>
      </c>
      <c r="AS73">
        <v>98.533299999999997</v>
      </c>
      <c r="AT73">
        <v>151</v>
      </c>
      <c r="AU73">
        <v>30.288900000000002</v>
      </c>
      <c r="BJ73">
        <v>71</v>
      </c>
      <c r="BK73">
        <v>97.432400000000001</v>
      </c>
      <c r="BL73">
        <v>145</v>
      </c>
      <c r="BM73">
        <v>20.054099999999998</v>
      </c>
      <c r="BP73">
        <v>71</v>
      </c>
      <c r="BQ73">
        <v>106.13160000000001</v>
      </c>
      <c r="BR73">
        <v>147</v>
      </c>
      <c r="BS73">
        <v>27.921099999999999</v>
      </c>
      <c r="CB73">
        <v>71</v>
      </c>
      <c r="CC73">
        <v>86.911100000000005</v>
      </c>
      <c r="CD73">
        <v>149</v>
      </c>
      <c r="CE73">
        <v>19.488900000000001</v>
      </c>
    </row>
    <row r="74" spans="14:83" x14ac:dyDescent="0.3">
      <c r="T74">
        <v>72</v>
      </c>
      <c r="U74">
        <v>101.91670000000001</v>
      </c>
      <c r="V74">
        <v>145</v>
      </c>
      <c r="W74">
        <v>31.972200000000001</v>
      </c>
      <c r="Z74">
        <v>72</v>
      </c>
      <c r="AA74">
        <v>86.232600000000005</v>
      </c>
      <c r="AB74">
        <v>162</v>
      </c>
      <c r="AC74">
        <v>27.302299999999999</v>
      </c>
      <c r="AF74">
        <v>72</v>
      </c>
      <c r="AG74">
        <v>100.02379999999999</v>
      </c>
      <c r="AH74">
        <v>146</v>
      </c>
      <c r="AI74">
        <v>32.547600000000003</v>
      </c>
      <c r="AL74">
        <v>72</v>
      </c>
      <c r="AM74">
        <v>114.3929</v>
      </c>
      <c r="AN74">
        <v>145</v>
      </c>
      <c r="AO74">
        <v>33.928600000000003</v>
      </c>
      <c r="AR74">
        <v>72</v>
      </c>
      <c r="AS74">
        <v>98.288899999999998</v>
      </c>
      <c r="AT74">
        <v>152</v>
      </c>
      <c r="AU74">
        <v>29.355599999999999</v>
      </c>
      <c r="BJ74">
        <v>72</v>
      </c>
      <c r="BK74">
        <v>97.675700000000006</v>
      </c>
      <c r="BL74">
        <v>146</v>
      </c>
      <c r="BM74">
        <v>19.8919</v>
      </c>
      <c r="BP74">
        <v>72</v>
      </c>
      <c r="BQ74">
        <v>106.8158</v>
      </c>
      <c r="BR74">
        <v>148</v>
      </c>
      <c r="BS74">
        <v>27.552600000000002</v>
      </c>
      <c r="CB74">
        <v>72</v>
      </c>
      <c r="CC74">
        <v>86.644400000000005</v>
      </c>
      <c r="CD74">
        <v>150</v>
      </c>
      <c r="CE74">
        <v>19.2667</v>
      </c>
    </row>
    <row r="75" spans="14:83" x14ac:dyDescent="0.3">
      <c r="Z75">
        <v>73</v>
      </c>
      <c r="AA75">
        <v>87.837199999999996</v>
      </c>
      <c r="AB75">
        <v>163</v>
      </c>
      <c r="AC75">
        <v>27.116299999999999</v>
      </c>
      <c r="AF75">
        <v>73</v>
      </c>
      <c r="AG75">
        <v>100.2381</v>
      </c>
      <c r="AH75">
        <v>147</v>
      </c>
      <c r="AI75">
        <v>31.976199999999999</v>
      </c>
      <c r="AR75">
        <v>73</v>
      </c>
      <c r="AS75">
        <v>98.155600000000007</v>
      </c>
      <c r="AT75">
        <v>153</v>
      </c>
      <c r="AU75">
        <v>29.4222</v>
      </c>
      <c r="BJ75">
        <v>73</v>
      </c>
      <c r="BK75">
        <v>98.243200000000002</v>
      </c>
      <c r="BL75">
        <v>147</v>
      </c>
      <c r="BM75">
        <v>19.1892</v>
      </c>
      <c r="BP75">
        <v>73</v>
      </c>
      <c r="BQ75">
        <v>108.5526</v>
      </c>
      <c r="BR75">
        <v>149</v>
      </c>
      <c r="BS75">
        <v>27.5</v>
      </c>
      <c r="CB75">
        <v>73</v>
      </c>
      <c r="CC75">
        <v>86.177800000000005</v>
      </c>
      <c r="CD75">
        <v>151</v>
      </c>
      <c r="CE75">
        <v>18.977799999999998</v>
      </c>
    </row>
    <row r="76" spans="14:83" x14ac:dyDescent="0.3">
      <c r="Z76">
        <v>74</v>
      </c>
      <c r="AA76">
        <v>89.860500000000002</v>
      </c>
      <c r="AB76">
        <v>164</v>
      </c>
      <c r="AC76">
        <v>26.674399999999999</v>
      </c>
      <c r="AR76">
        <v>74</v>
      </c>
      <c r="AS76">
        <v>98.288899999999998</v>
      </c>
      <c r="AT76">
        <v>154</v>
      </c>
      <c r="AU76">
        <v>29.933299999999999</v>
      </c>
      <c r="BP76">
        <v>74</v>
      </c>
      <c r="BQ76">
        <v>111.02630000000001</v>
      </c>
      <c r="BR76">
        <v>150</v>
      </c>
      <c r="BS76">
        <v>27.3947</v>
      </c>
      <c r="CB76">
        <v>74</v>
      </c>
      <c r="CC76">
        <v>85.577799999999996</v>
      </c>
      <c r="CD76">
        <v>152</v>
      </c>
      <c r="CE76">
        <v>18.755600000000001</v>
      </c>
    </row>
    <row r="77" spans="14:83" x14ac:dyDescent="0.3">
      <c r="Z77">
        <v>75</v>
      </c>
      <c r="AA77">
        <v>91.627899999999997</v>
      </c>
      <c r="AB77">
        <v>165</v>
      </c>
      <c r="AC77">
        <v>26</v>
      </c>
      <c r="AR77">
        <v>75</v>
      </c>
      <c r="AS77">
        <v>98.8</v>
      </c>
      <c r="AT77">
        <v>155</v>
      </c>
      <c r="AU77">
        <v>29.933299999999999</v>
      </c>
      <c r="BP77">
        <v>75</v>
      </c>
      <c r="BQ77">
        <v>113.2368</v>
      </c>
      <c r="BR77">
        <v>151</v>
      </c>
      <c r="BS77">
        <v>26.8947</v>
      </c>
      <c r="CB77">
        <v>75</v>
      </c>
      <c r="CC77">
        <v>85.155600000000007</v>
      </c>
      <c r="CD77">
        <v>153</v>
      </c>
      <c r="CE77">
        <v>18.333300000000001</v>
      </c>
    </row>
    <row r="78" spans="14:83" x14ac:dyDescent="0.3">
      <c r="Z78">
        <v>76</v>
      </c>
      <c r="AA78">
        <v>92.906999999999996</v>
      </c>
      <c r="AB78">
        <v>166</v>
      </c>
      <c r="AC78">
        <v>24.976700000000001</v>
      </c>
      <c r="AR78">
        <v>76</v>
      </c>
      <c r="AS78">
        <v>99.466700000000003</v>
      </c>
      <c r="AT78">
        <v>156</v>
      </c>
      <c r="AU78">
        <v>29.6889</v>
      </c>
      <c r="CB78">
        <v>76</v>
      </c>
      <c r="CC78">
        <v>84.755600000000001</v>
      </c>
      <c r="CD78">
        <v>154</v>
      </c>
      <c r="CE78">
        <v>17.9556</v>
      </c>
    </row>
    <row r="79" spans="14:83" x14ac:dyDescent="0.3">
      <c r="Z79">
        <v>77</v>
      </c>
      <c r="AA79">
        <v>94.418599999999998</v>
      </c>
      <c r="AB79">
        <v>167</v>
      </c>
      <c r="AC79">
        <v>23.907</v>
      </c>
      <c r="AR79">
        <v>77</v>
      </c>
      <c r="AS79">
        <v>99.844399999999993</v>
      </c>
      <c r="AT79">
        <v>157</v>
      </c>
      <c r="AU79">
        <v>29.444400000000002</v>
      </c>
      <c r="CB79">
        <v>77</v>
      </c>
      <c r="CC79">
        <v>84.533299999999997</v>
      </c>
      <c r="CD79">
        <v>155</v>
      </c>
      <c r="CE79">
        <v>17.866700000000002</v>
      </c>
    </row>
    <row r="80" spans="14:83" x14ac:dyDescent="0.3">
      <c r="Z80">
        <v>78</v>
      </c>
      <c r="AA80">
        <v>96.627899999999997</v>
      </c>
      <c r="AB80">
        <v>168</v>
      </c>
      <c r="AC80">
        <v>23.069800000000001</v>
      </c>
      <c r="AR80">
        <v>78</v>
      </c>
      <c r="AS80">
        <v>100.6</v>
      </c>
      <c r="AT80">
        <v>158</v>
      </c>
      <c r="AU80">
        <v>29.3111</v>
      </c>
    </row>
    <row r="81" spans="26:47" x14ac:dyDescent="0.3">
      <c r="Z81">
        <v>79</v>
      </c>
      <c r="AA81">
        <v>98.232600000000005</v>
      </c>
      <c r="AB81">
        <v>169</v>
      </c>
      <c r="AC81">
        <v>22.348800000000001</v>
      </c>
      <c r="AR81">
        <v>79</v>
      </c>
      <c r="AS81">
        <v>100.7556</v>
      </c>
      <c r="AT81">
        <v>159</v>
      </c>
      <c r="AU81">
        <v>28.5778</v>
      </c>
    </row>
    <row r="82" spans="26:47" x14ac:dyDescent="0.3">
      <c r="Z82">
        <v>80</v>
      </c>
      <c r="AA82">
        <v>99.023300000000006</v>
      </c>
      <c r="AB82">
        <v>170</v>
      </c>
      <c r="AC82">
        <v>21.907</v>
      </c>
    </row>
    <row r="83" spans="26:47" x14ac:dyDescent="0.3">
      <c r="Z83">
        <v>81</v>
      </c>
      <c r="AA83">
        <v>100.4884</v>
      </c>
      <c r="AB83">
        <v>171</v>
      </c>
      <c r="AC83">
        <v>21.116299999999999</v>
      </c>
    </row>
    <row r="84" spans="26:47" x14ac:dyDescent="0.3">
      <c r="Z84">
        <v>82</v>
      </c>
      <c r="AA84">
        <v>101.74420000000001</v>
      </c>
      <c r="AB84">
        <v>172</v>
      </c>
      <c r="AC84">
        <v>20.2791</v>
      </c>
    </row>
    <row r="85" spans="26:47" x14ac:dyDescent="0.3">
      <c r="Z85">
        <v>83</v>
      </c>
      <c r="AA85">
        <v>102.23260000000001</v>
      </c>
      <c r="AB85">
        <v>173</v>
      </c>
      <c r="AC85">
        <v>19.883700000000001</v>
      </c>
    </row>
    <row r="86" spans="26:47" x14ac:dyDescent="0.3">
      <c r="Z86">
        <v>84</v>
      </c>
      <c r="AA86">
        <v>101.4884</v>
      </c>
      <c r="AB86">
        <v>174</v>
      </c>
      <c r="AC86">
        <v>19.6279</v>
      </c>
    </row>
    <row r="87" spans="26:47" x14ac:dyDescent="0.3">
      <c r="Z87">
        <v>85</v>
      </c>
      <c r="AA87">
        <v>101.74420000000001</v>
      </c>
      <c r="AB87">
        <v>175</v>
      </c>
      <c r="AC87">
        <v>19.046500000000002</v>
      </c>
    </row>
    <row r="88" spans="26:47" x14ac:dyDescent="0.3">
      <c r="Z88">
        <v>86</v>
      </c>
      <c r="AA88">
        <v>101.5116</v>
      </c>
      <c r="AB88">
        <v>176</v>
      </c>
      <c r="AC88">
        <v>18.604700000000001</v>
      </c>
    </row>
    <row r="89" spans="26:47" x14ac:dyDescent="0.3">
      <c r="Z89">
        <v>87</v>
      </c>
      <c r="AA89">
        <v>101</v>
      </c>
      <c r="AB89">
        <v>177</v>
      </c>
      <c r="AC89">
        <v>18.093</v>
      </c>
    </row>
    <row r="90" spans="26:47" x14ac:dyDescent="0.3">
      <c r="Z90">
        <v>88</v>
      </c>
      <c r="AA90">
        <v>100.6977</v>
      </c>
      <c r="AB90">
        <v>178</v>
      </c>
      <c r="AC90">
        <v>17.651199999999999</v>
      </c>
    </row>
    <row r="91" spans="26:47" x14ac:dyDescent="0.3">
      <c r="Z91">
        <v>89</v>
      </c>
      <c r="AA91">
        <v>99.7209</v>
      </c>
      <c r="AB91">
        <v>179</v>
      </c>
      <c r="AC91">
        <v>17.255800000000001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2E69C-7FFC-4EDE-9EFD-4B1EFAE52979}">
  <dimension ref="A1:M23"/>
  <sheetViews>
    <sheetView tabSelected="1" workbookViewId="0">
      <selection activeCell="K12" sqref="K12"/>
    </sheetView>
  </sheetViews>
  <sheetFormatPr defaultRowHeight="14.4" x14ac:dyDescent="0.3"/>
  <sheetData>
    <row r="1" spans="1:13" x14ac:dyDescent="0.3">
      <c r="A1" t="s">
        <v>0</v>
      </c>
      <c r="B1" t="s">
        <v>2</v>
      </c>
      <c r="C1" t="s">
        <v>9</v>
      </c>
      <c r="D1" t="s">
        <v>10</v>
      </c>
      <c r="E1" t="s">
        <v>11</v>
      </c>
      <c r="F1" t="s">
        <v>12</v>
      </c>
      <c r="H1" t="s">
        <v>13</v>
      </c>
      <c r="I1" t="s">
        <v>2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B2">
        <v>1580</v>
      </c>
      <c r="C2">
        <f>AVERAGE(raw_con!$CO$2:$CO$69)</f>
        <v>60.982277941176484</v>
      </c>
      <c r="D2">
        <f>SUM(raw_con!$CO$2:$CO$69)</f>
        <v>4146.7949000000008</v>
      </c>
      <c r="E2">
        <f>AVERAGE(raw_con!$E$2:$E$81)</f>
        <v>62.705261249999992</v>
      </c>
      <c r="F2">
        <f>SUM(raw_con!$E$2:$E$81)</f>
        <v>5016.4208999999992</v>
      </c>
    </row>
    <row r="3" spans="1:13" x14ac:dyDescent="0.3">
      <c r="B3">
        <v>1581</v>
      </c>
      <c r="C3">
        <f>AVERAGE(raw_con!$I$2:$I$58)</f>
        <v>52.059063157894734</v>
      </c>
      <c r="D3">
        <f>SUM(raw_con!$I$2:$I$58)</f>
        <v>2967.3665999999998</v>
      </c>
      <c r="E3">
        <f>AVERAGE(raw_con!$K$2:$K$58)</f>
        <v>53.780121052631578</v>
      </c>
      <c r="F3">
        <f>SUM(raw_con!$K$2:$K$58)</f>
        <v>3065.4668999999999</v>
      </c>
    </row>
    <row r="4" spans="1:13" x14ac:dyDescent="0.3">
      <c r="B4">
        <v>1582</v>
      </c>
      <c r="C4">
        <f>AVERAGE(raw_con!$O$2:$O$73)</f>
        <v>59.013076388888898</v>
      </c>
      <c r="D4">
        <f>SUM(raw_con!$O$2:$O$73)</f>
        <v>4248.9415000000008</v>
      </c>
      <c r="E4">
        <f>AVERAGE(raw_con!$Q$2:$Q$73)</f>
        <v>63.827208333333338</v>
      </c>
      <c r="F4">
        <f>SUM(raw_con!$Q$2:$Q$73)</f>
        <v>4595.5590000000002</v>
      </c>
    </row>
    <row r="5" spans="1:13" x14ac:dyDescent="0.3">
      <c r="B5">
        <v>1583</v>
      </c>
      <c r="C5">
        <f>AVERAGE(raw_con!$U$2:$U$63)</f>
        <v>67.85954354838708</v>
      </c>
      <c r="D5">
        <f>SUM(raw_con!$U$2:$U$63)</f>
        <v>4207.2916999999989</v>
      </c>
      <c r="E5">
        <f>AVERAGE(raw_con!$W$2:$W$63)</f>
        <v>63.502693548387107</v>
      </c>
      <c r="F5">
        <f>SUM(raw_con!$W$2:$W$63)</f>
        <v>3937.1670000000008</v>
      </c>
    </row>
    <row r="6" spans="1:13" x14ac:dyDescent="0.3">
      <c r="B6">
        <v>1585</v>
      </c>
      <c r="C6">
        <f>AVERAGE(raw_con!$AA$2:$AA$71)</f>
        <v>57.215812857142858</v>
      </c>
      <c r="D6">
        <f>SUM(raw_con!$AA$2:$AA$71)</f>
        <v>4005.1069000000002</v>
      </c>
      <c r="E6">
        <f>AVERAGE(raw_con!$AC$2:$AC$71)</f>
        <v>65.066332857142868</v>
      </c>
      <c r="F6">
        <f>SUM(raw_con!$AC$2:$AC$71)</f>
        <v>4554.6433000000006</v>
      </c>
    </row>
    <row r="7" spans="1:13" x14ac:dyDescent="0.3">
      <c r="B7">
        <v>1586</v>
      </c>
      <c r="C7">
        <f>AVERAGE(raw_con!$AG$2:$AG$68)</f>
        <v>55.068228358208948</v>
      </c>
      <c r="D7">
        <f>SUM(raw_con!$AG$2:$AG$68)</f>
        <v>3689.5712999999996</v>
      </c>
      <c r="E7">
        <f>AVERAGE(raw_con!$AI$2:$AI$68)</f>
        <v>58.688164179104511</v>
      </c>
      <c r="F7">
        <f>SUM(raw_con!$AI$2:$AI$68)</f>
        <v>3932.1070000000022</v>
      </c>
    </row>
    <row r="8" spans="1:13" x14ac:dyDescent="0.3">
      <c r="B8">
        <v>1587</v>
      </c>
      <c r="C8">
        <f>AVERAGE(raw_con!$AM$2:$AM$73)</f>
        <v>48.994444444444461</v>
      </c>
      <c r="D8">
        <f>SUM(raw_con!$AM$2:$AM$73)</f>
        <v>3527.6000000000013</v>
      </c>
      <c r="E8">
        <f>AVERAGE(raw_con!$AO$2:$AO$73)</f>
        <v>60.850927777777741</v>
      </c>
      <c r="F8">
        <f>SUM(raw_con!$AO$2:$AO$73)</f>
        <v>4381.2667999999976</v>
      </c>
    </row>
    <row r="9" spans="1:13" x14ac:dyDescent="0.3">
      <c r="B9">
        <v>1588</v>
      </c>
      <c r="C9">
        <f>AVERAGE(raw_con!$AS$2:$AS$55)</f>
        <v>57.726048148148159</v>
      </c>
      <c r="D9">
        <f>SUM(raw_con!$AS$2:$AS$55)</f>
        <v>3117.2066000000004</v>
      </c>
      <c r="E9">
        <f>AVERAGE(raw_con!$AU$2:$AU$55)</f>
        <v>60.825027777777805</v>
      </c>
      <c r="F9">
        <f>SUM(raw_con!$AU$2:$AU$55)</f>
        <v>3284.5515000000014</v>
      </c>
    </row>
    <row r="10" spans="1:13" x14ac:dyDescent="0.3">
      <c r="B10">
        <v>1589</v>
      </c>
      <c r="C10">
        <f>AVERAGE(raw_con!$AY$2:$AY$70)</f>
        <v>47.057371014492773</v>
      </c>
      <c r="D10">
        <f>SUM(raw_con!$AY$2:$AY$70)</f>
        <v>3246.9586000000013</v>
      </c>
      <c r="E10">
        <f>AVERAGE(raw_con!$BA$2:$BA$70)</f>
        <v>45.699278260869569</v>
      </c>
      <c r="F10">
        <f>SUM(raw_con!$BA$2:$BA$70)</f>
        <v>3153.2502000000004</v>
      </c>
    </row>
    <row r="11" spans="1:13" x14ac:dyDescent="0.3">
      <c r="B11">
        <v>1590</v>
      </c>
      <c r="C11">
        <f>AVERAGE(raw_con!$BE$2:$BE$56)</f>
        <v>72.439780000000013</v>
      </c>
      <c r="D11">
        <f>SUM(raw_con!$BE$2:$BE$56)</f>
        <v>3984.1879000000008</v>
      </c>
      <c r="E11">
        <f>AVERAGE(raw_con!$BG$2:$BG$56)</f>
        <v>73.46590545454545</v>
      </c>
      <c r="F11">
        <f>SUM(raw_con!$BG$2:$BG$56)</f>
        <v>4040.6247999999996</v>
      </c>
    </row>
    <row r="12" spans="1:13" x14ac:dyDescent="0.3">
      <c r="B12">
        <v>1591</v>
      </c>
      <c r="C12">
        <f>AVERAGE(raw_con!$BK$2:$BK$62)</f>
        <v>51.439344262295094</v>
      </c>
      <c r="D12">
        <f>SUM(raw_con!$BK$2:$BK$62)</f>
        <v>3137.8000000000006</v>
      </c>
      <c r="E12">
        <f>AVERAGE(raw_con!$BM$2:$BM$62)</f>
        <v>48.061475409836063</v>
      </c>
      <c r="F12">
        <f>SUM(raw_con!$BM$2:$BM$62)</f>
        <v>2931.75</v>
      </c>
    </row>
    <row r="13" spans="1:13" x14ac:dyDescent="0.3">
      <c r="B13">
        <v>1592</v>
      </c>
      <c r="C13">
        <f>AVERAGE(raw_con!$BQ$2:$BQ$59)</f>
        <v>67.499994827586221</v>
      </c>
      <c r="D13">
        <f>SUM(raw_con!$BQ$2:$BQ$59)</f>
        <v>3914.9997000000008</v>
      </c>
      <c r="E13">
        <f>AVERAGE(raw_con!$BS$2:$BS$59)</f>
        <v>62.986924137931034</v>
      </c>
      <c r="F13">
        <f>SUM(raw_con!$BS$2:$BS$59)</f>
        <v>3653.2415999999998</v>
      </c>
    </row>
    <row r="14" spans="1:13" x14ac:dyDescent="0.3">
      <c r="B14">
        <v>1593</v>
      </c>
      <c r="C14">
        <f>AVERAGE(raw_con!$BW$2:$BW$68)</f>
        <v>66.664858208955238</v>
      </c>
      <c r="D14">
        <f>SUM(raw_con!$BW$2:$BW$68)</f>
        <v>4466.5455000000011</v>
      </c>
      <c r="E14">
        <f>AVERAGE(raw_con!$BY$2:$BY$68)</f>
        <v>58.109450746268671</v>
      </c>
      <c r="F14">
        <f>SUM(raw_con!$BY$2:$BY$68)</f>
        <v>3893.3332000000009</v>
      </c>
    </row>
    <row r="15" spans="1:13" x14ac:dyDescent="0.3">
      <c r="B15">
        <v>1594</v>
      </c>
      <c r="C15">
        <f>AVERAGE(raw_con!$CC$2:$CC$76)</f>
        <v>55.818989333333342</v>
      </c>
      <c r="D15">
        <f>SUM(raw_con!$CC$2:$CC$76)</f>
        <v>4186.4242000000004</v>
      </c>
      <c r="E15">
        <f>AVERAGE(raw_con!$CE$2:$CE$76)</f>
        <v>47.151914666666656</v>
      </c>
      <c r="F15">
        <f>SUM(raw_con!$CE$2:$CE$76)</f>
        <v>3536.3935999999994</v>
      </c>
    </row>
    <row r="16" spans="1:13" x14ac:dyDescent="0.3">
      <c r="B16">
        <v>1596</v>
      </c>
      <c r="C16">
        <f>AVERAGE(raw_con!$CI$2:$CI$78)</f>
        <v>57.066738961038972</v>
      </c>
      <c r="D16">
        <f>SUM(raw_con!$CI$2:$CI$78)</f>
        <v>4394.1389000000008</v>
      </c>
      <c r="E16">
        <f>AVERAGE(raw_con!$CK$2:$CK$78)</f>
        <v>60.408729870129875</v>
      </c>
      <c r="F16">
        <f>SUM(raw_con!$CK$2:$CK$78)</f>
        <v>4651.4722000000002</v>
      </c>
    </row>
    <row r="17" spans="1:6" x14ac:dyDescent="0.3">
      <c r="B17">
        <v>1597</v>
      </c>
      <c r="C17">
        <f>AVERAGE(raw_con!CO2:CO69)</f>
        <v>60.982277941176484</v>
      </c>
      <c r="D17">
        <f>SUM(raw_con!CP2:CP69)</f>
        <v>6902</v>
      </c>
      <c r="E17">
        <f>AVERAGE(raw_con!$CQ$2:$CQ$69)</f>
        <v>55.692314705882346</v>
      </c>
      <c r="F17">
        <f>SUM(raw_con!$CQ$2:$CQ$69)</f>
        <v>3787.0773999999997</v>
      </c>
    </row>
    <row r="18" spans="1:6" x14ac:dyDescent="0.3">
      <c r="B18">
        <v>1598</v>
      </c>
      <c r="C18">
        <f>AVERAGE(raw_con!$CU$2:$CU$71)</f>
        <v>55.315512857142835</v>
      </c>
      <c r="D18">
        <f>SUM(raw_con!$CU$2:$CU$71)</f>
        <v>3872.0858999999987</v>
      </c>
      <c r="E18">
        <f>AVERAGE(raw_con!$CW$2:$CW$71)</f>
        <v>50.910612857142851</v>
      </c>
      <c r="F18">
        <f>SUM(raw_con!$CW$2:$CW$71)</f>
        <v>3563.7428999999997</v>
      </c>
    </row>
    <row r="19" spans="1:6" x14ac:dyDescent="0.3">
      <c r="B19">
        <v>1599</v>
      </c>
      <c r="C19">
        <f>AVERAGE(raw_con!$DA$2:$DA$92)</f>
        <v>61.252746153846161</v>
      </c>
      <c r="D19">
        <f>SUM(raw_con!$DA$2:$DA$92)</f>
        <v>5573.9999000000007</v>
      </c>
      <c r="E19">
        <f>AVERAGE(raw_con!$DC$2:$DC$92)</f>
        <v>72.050389010988994</v>
      </c>
      <c r="F19">
        <f>SUM(raw_con!$DC$2:$DC$92)</f>
        <v>6556.585399999999</v>
      </c>
    </row>
    <row r="20" spans="1:6" x14ac:dyDescent="0.3">
      <c r="B20">
        <v>1600</v>
      </c>
      <c r="C20">
        <f>AVERAGE(raw_con!$DG$2:$DG$78)</f>
        <v>64.626546753246757</v>
      </c>
      <c r="D20">
        <f>SUM(raw_con!$DG$2:$DG$78)</f>
        <v>4976.2441000000008</v>
      </c>
      <c r="E20">
        <f>AVERAGE(raw_con!$DI$2:$DI$78)</f>
        <v>59.307649350649356</v>
      </c>
      <c r="F20">
        <f>SUM(raw_con!$DI$2:$DI$78)</f>
        <v>4566.6890000000003</v>
      </c>
    </row>
    <row r="22" spans="1:6" x14ac:dyDescent="0.3">
      <c r="A22" t="s">
        <v>15</v>
      </c>
      <c r="C22">
        <f>AVERAGE(C2:C20)</f>
        <v>58.899087113547644</v>
      </c>
      <c r="D22">
        <f t="shared" ref="D22:F22" si="0">AVERAGE(D2:D20)</f>
        <v>4135.0139052631575</v>
      </c>
      <c r="E22">
        <f t="shared" si="0"/>
        <v>59.110020065635041</v>
      </c>
      <c r="F22">
        <f t="shared" si="0"/>
        <v>4057.9654052631581</v>
      </c>
    </row>
    <row r="23" spans="1:6" x14ac:dyDescent="0.3">
      <c r="A23" t="s">
        <v>14</v>
      </c>
      <c r="B23">
        <f>COUNT(B2:B20)</f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zoomScale="85" zoomScaleNormal="85" workbookViewId="0">
      <selection activeCell="O22" sqref="O22"/>
    </sheetView>
  </sheetViews>
  <sheetFormatPr defaultRowHeight="14.4" x14ac:dyDescent="0.3"/>
  <cols>
    <col min="8" max="8" width="9" customWidth="1"/>
    <col min="10" max="10" width="9" customWidth="1"/>
  </cols>
  <sheetData>
    <row r="1" spans="1:9" x14ac:dyDescent="0.3">
      <c r="A1" s="1" t="s">
        <v>0</v>
      </c>
      <c r="B1" s="1"/>
      <c r="C1" s="1"/>
      <c r="D1" s="1"/>
      <c r="E1" s="1"/>
      <c r="G1" s="1" t="s">
        <v>1</v>
      </c>
      <c r="H1" s="1"/>
      <c r="I1" s="1"/>
    </row>
    <row r="2" spans="1:9" x14ac:dyDescent="0.3">
      <c r="A2" t="s">
        <v>2</v>
      </c>
      <c r="B2" t="s">
        <v>3</v>
      </c>
      <c r="C2" t="s">
        <v>4</v>
      </c>
      <c r="D2" t="s">
        <v>5</v>
      </c>
      <c r="F2" t="s">
        <v>2</v>
      </c>
      <c r="G2" t="s">
        <v>6</v>
      </c>
      <c r="H2" t="s">
        <v>4</v>
      </c>
      <c r="I2" t="s">
        <v>5</v>
      </c>
    </row>
    <row r="3" spans="1:9" x14ac:dyDescent="0.3">
      <c r="A3">
        <v>1580</v>
      </c>
      <c r="B3">
        <v>30262.986000000001</v>
      </c>
      <c r="C3">
        <f>29588.329+168.728</f>
        <v>29757.057000000001</v>
      </c>
      <c r="D3">
        <f t="shared" ref="D3:D20" si="0">B3/C3</f>
        <v>1.0170019837647251</v>
      </c>
      <c r="F3">
        <v>1562</v>
      </c>
      <c r="G3">
        <v>13447.903</v>
      </c>
      <c r="H3">
        <v>10457.924000000001</v>
      </c>
      <c r="I3">
        <f t="shared" ref="I3:I16" si="1">G3/H3</f>
        <v>1.2859055965600821</v>
      </c>
    </row>
    <row r="4" spans="1:9" x14ac:dyDescent="0.3">
      <c r="A4">
        <v>1581</v>
      </c>
      <c r="B4">
        <v>15765.368</v>
      </c>
      <c r="C4">
        <v>14395.852999999999</v>
      </c>
      <c r="D4">
        <f t="shared" si="0"/>
        <v>1.0951326052023456</v>
      </c>
      <c r="F4">
        <v>1566</v>
      </c>
      <c r="G4">
        <v>16497.387999999999</v>
      </c>
      <c r="H4">
        <v>16162.995000000001</v>
      </c>
      <c r="I4">
        <f t="shared" si="1"/>
        <v>1.020688801796944</v>
      </c>
    </row>
    <row r="5" spans="1:9" x14ac:dyDescent="0.3">
      <c r="A5">
        <v>1582</v>
      </c>
      <c r="B5">
        <v>28598.885999999999</v>
      </c>
      <c r="C5">
        <f>23352.016+96.778+260.607</f>
        <v>23709.400999999998</v>
      </c>
      <c r="D5">
        <f t="shared" si="0"/>
        <v>1.2062255811523876</v>
      </c>
      <c r="F5">
        <v>1567</v>
      </c>
      <c r="G5">
        <v>13881.681</v>
      </c>
      <c r="H5">
        <f>10635.004+306.435</f>
        <v>10941.439</v>
      </c>
      <c r="I5">
        <f t="shared" si="1"/>
        <v>1.2687253477353391</v>
      </c>
    </row>
    <row r="6" spans="1:9" x14ac:dyDescent="0.3">
      <c r="A6">
        <v>1583</v>
      </c>
      <c r="B6">
        <v>27712.43</v>
      </c>
      <c r="C6">
        <f>22994.773+454.092</f>
        <v>23448.865000000002</v>
      </c>
      <c r="D6">
        <f t="shared" si="0"/>
        <v>1.1818239390264731</v>
      </c>
      <c r="F6">
        <v>1568</v>
      </c>
      <c r="G6">
        <v>29310.966</v>
      </c>
      <c r="H6">
        <v>25761.207999999999</v>
      </c>
      <c r="I6">
        <f t="shared" si="1"/>
        <v>1.1377947027949933</v>
      </c>
    </row>
    <row r="7" spans="1:9" x14ac:dyDescent="0.3">
      <c r="A7">
        <v>1585</v>
      </c>
      <c r="B7">
        <v>26868.007000000001</v>
      </c>
      <c r="C7">
        <v>27089.420999999998</v>
      </c>
      <c r="D7">
        <f t="shared" si="0"/>
        <v>0.99182655103628836</v>
      </c>
      <c r="F7">
        <v>1569</v>
      </c>
      <c r="G7">
        <v>41684.978000000003</v>
      </c>
      <c r="H7">
        <f>37186.057+30.95</f>
        <v>37217.006999999998</v>
      </c>
      <c r="I7">
        <f t="shared" si="1"/>
        <v>1.1200518623112279</v>
      </c>
    </row>
    <row r="8" spans="1:9" x14ac:dyDescent="0.3">
      <c r="A8">
        <v>1586</v>
      </c>
      <c r="B8">
        <v>19157.167000000001</v>
      </c>
      <c r="C8">
        <v>19518.458999999999</v>
      </c>
      <c r="D8">
        <f t="shared" si="0"/>
        <v>0.98148972723717598</v>
      </c>
      <c r="F8">
        <v>1570</v>
      </c>
      <c r="G8">
        <v>29067.550999999999</v>
      </c>
      <c r="H8">
        <v>28582.915000000001</v>
      </c>
      <c r="I8">
        <f t="shared" si="1"/>
        <v>1.0169554434878318</v>
      </c>
    </row>
    <row r="9" spans="1:9" x14ac:dyDescent="0.3">
      <c r="A9">
        <v>1587</v>
      </c>
      <c r="B9">
        <v>38257.815000000002</v>
      </c>
      <c r="C9">
        <v>41074.500999999997</v>
      </c>
      <c r="D9">
        <f t="shared" si="0"/>
        <v>0.93142494902129191</v>
      </c>
      <c r="F9">
        <v>1571</v>
      </c>
      <c r="G9">
        <v>24778.723000000002</v>
      </c>
      <c r="H9">
        <v>31612.037</v>
      </c>
      <c r="I9">
        <f t="shared" si="1"/>
        <v>0.78383822592640906</v>
      </c>
    </row>
    <row r="10" spans="1:9" x14ac:dyDescent="0.3">
      <c r="A10">
        <v>1588</v>
      </c>
      <c r="B10">
        <v>19280.136999999999</v>
      </c>
      <c r="C10">
        <v>18356.409</v>
      </c>
      <c r="D10">
        <f t="shared" si="0"/>
        <v>1.0503218249277404</v>
      </c>
      <c r="F10">
        <v>1572</v>
      </c>
      <c r="G10">
        <v>18319.409</v>
      </c>
      <c r="H10">
        <f>17024.338+186.899</f>
        <v>17211.237000000001</v>
      </c>
      <c r="I10">
        <f t="shared" si="1"/>
        <v>1.0643865400261467</v>
      </c>
    </row>
    <row r="11" spans="1:9" x14ac:dyDescent="0.3">
      <c r="A11">
        <v>1589</v>
      </c>
      <c r="B11">
        <v>15356.237999999999</v>
      </c>
      <c r="C11">
        <f>12498.711+2205.698</f>
        <v>14704.409</v>
      </c>
      <c r="D11">
        <f t="shared" si="0"/>
        <v>1.0443288132151385</v>
      </c>
      <c r="F11">
        <v>1573</v>
      </c>
      <c r="G11">
        <v>5346.1540000000005</v>
      </c>
      <c r="H11">
        <f>6624.234+664.577</f>
        <v>7288.8110000000006</v>
      </c>
      <c r="I11">
        <f t="shared" si="1"/>
        <v>0.73347408788621349</v>
      </c>
    </row>
    <row r="12" spans="1:9" x14ac:dyDescent="0.3">
      <c r="A12">
        <v>1590</v>
      </c>
      <c r="B12">
        <v>21081.723000000002</v>
      </c>
      <c r="C12">
        <v>21437.752</v>
      </c>
      <c r="D12">
        <f t="shared" si="0"/>
        <v>0.98339242845984975</v>
      </c>
      <c r="F12">
        <v>1574</v>
      </c>
      <c r="G12">
        <v>9735.4969999999994</v>
      </c>
      <c r="H12">
        <f>8379.861+138.607</f>
        <v>8518.4680000000008</v>
      </c>
      <c r="I12">
        <f t="shared" si="1"/>
        <v>1.1428694690171988</v>
      </c>
    </row>
    <row r="13" spans="1:9" x14ac:dyDescent="0.3">
      <c r="A13">
        <v>1592</v>
      </c>
      <c r="B13">
        <v>25643.157999999999</v>
      </c>
      <c r="C13">
        <f>23170.844+32.95</f>
        <v>23203.794000000002</v>
      </c>
      <c r="D13">
        <f t="shared" si="0"/>
        <v>1.1051278079782987</v>
      </c>
      <c r="F13">
        <v>1575</v>
      </c>
      <c r="G13">
        <f>10345.64+2562.184</f>
        <v>12907.824000000001</v>
      </c>
      <c r="H13">
        <v>19158.651999999998</v>
      </c>
      <c r="I13">
        <f t="shared" si="1"/>
        <v>0.67373341297707179</v>
      </c>
    </row>
    <row r="14" spans="1:9" x14ac:dyDescent="0.3">
      <c r="A14">
        <v>1593</v>
      </c>
      <c r="B14">
        <v>33587.400999999998</v>
      </c>
      <c r="C14">
        <f>31849.187+26.95</f>
        <v>31876.137000000002</v>
      </c>
      <c r="D14">
        <f t="shared" si="0"/>
        <v>1.0536847987571392</v>
      </c>
      <c r="F14">
        <v>1576</v>
      </c>
      <c r="G14">
        <f>15765.702+2998.82</f>
        <v>18764.522000000001</v>
      </c>
      <c r="H14">
        <v>14327.69</v>
      </c>
      <c r="I14">
        <f t="shared" si="1"/>
        <v>1.3096683415121348</v>
      </c>
    </row>
    <row r="15" spans="1:9" x14ac:dyDescent="0.3">
      <c r="A15">
        <v>1594</v>
      </c>
      <c r="B15">
        <v>39163.692999999999</v>
      </c>
      <c r="C15">
        <v>41582.199999999997</v>
      </c>
      <c r="D15">
        <f t="shared" si="0"/>
        <v>0.94183792584326953</v>
      </c>
      <c r="F15">
        <v>1577</v>
      </c>
      <c r="G15">
        <f>8132.548+548.799</f>
        <v>8681.3469999999998</v>
      </c>
      <c r="H15">
        <v>10156.882</v>
      </c>
      <c r="I15">
        <f t="shared" si="1"/>
        <v>0.85472559393719449</v>
      </c>
    </row>
    <row r="16" spans="1:9" x14ac:dyDescent="0.3">
      <c r="A16">
        <v>1596</v>
      </c>
      <c r="B16">
        <v>14658.045</v>
      </c>
      <c r="C16">
        <v>15986.995000000001</v>
      </c>
      <c r="D16">
        <f t="shared" si="0"/>
        <v>0.91687305838276667</v>
      </c>
      <c r="F16">
        <v>1578</v>
      </c>
      <c r="G16">
        <v>24147.108</v>
      </c>
      <c r="H16">
        <v>19966.773000000001</v>
      </c>
      <c r="I16">
        <f t="shared" si="1"/>
        <v>1.2093645778413968</v>
      </c>
    </row>
    <row r="17" spans="1:9" x14ac:dyDescent="0.3">
      <c r="A17">
        <v>1597</v>
      </c>
      <c r="B17">
        <v>29040.016</v>
      </c>
      <c r="C17">
        <v>26393.278999999999</v>
      </c>
      <c r="D17">
        <f t="shared" si="0"/>
        <v>1.1002807191937007</v>
      </c>
    </row>
    <row r="18" spans="1:9" x14ac:dyDescent="0.3">
      <c r="A18">
        <v>1598</v>
      </c>
      <c r="B18">
        <v>21535.43</v>
      </c>
      <c r="C18">
        <v>17980.560000000001</v>
      </c>
      <c r="D18">
        <f t="shared" si="0"/>
        <v>1.1977063005824067</v>
      </c>
      <c r="G18">
        <f>AVERAGE(G3:G17)</f>
        <v>19040.789357142854</v>
      </c>
      <c r="H18">
        <f>AVERAGE(H3:H17)</f>
        <v>18383.145571428573</v>
      </c>
    </row>
    <row r="19" spans="1:9" x14ac:dyDescent="0.3">
      <c r="A19">
        <v>1599</v>
      </c>
      <c r="B19">
        <f>33521.35+485.385</f>
        <v>34006.735000000001</v>
      </c>
      <c r="C19">
        <v>42235.442000000003</v>
      </c>
      <c r="D19">
        <f t="shared" si="0"/>
        <v>0.80517057214649246</v>
      </c>
      <c r="I19">
        <f>AVERAGE(I3:I4)</f>
        <v>1.153297199178513</v>
      </c>
    </row>
    <row r="20" spans="1:9" x14ac:dyDescent="0.3">
      <c r="A20">
        <v>1600</v>
      </c>
      <c r="B20">
        <v>33770.25</v>
      </c>
      <c r="C20">
        <f>27002.794+44.657</f>
        <v>27047.451000000001</v>
      </c>
      <c r="D20">
        <f t="shared" si="0"/>
        <v>1.2485557326640502</v>
      </c>
    </row>
    <row r="21" spans="1:9" x14ac:dyDescent="0.3">
      <c r="I21">
        <f>G18/H18</f>
        <v>1.0357742793886375</v>
      </c>
    </row>
    <row r="22" spans="1:9" x14ac:dyDescent="0.3">
      <c r="A22" t="s">
        <v>7</v>
      </c>
      <c r="B22">
        <f>AVERAGE(B3:B20)</f>
        <v>26319.193611111106</v>
      </c>
      <c r="C22">
        <f>AVERAGE(C3:C20)</f>
        <v>25544.3325</v>
      </c>
      <c r="D22">
        <f>AVERAGE(D3:D20)</f>
        <v>1.0473447399217524</v>
      </c>
    </row>
    <row r="24" spans="1:9" x14ac:dyDescent="0.3">
      <c r="A24" t="s">
        <v>8</v>
      </c>
      <c r="D24">
        <f>B22/C22</f>
        <v>1.0303339737341388</v>
      </c>
    </row>
  </sheetData>
  <mergeCells count="2">
    <mergeCell ref="A1:E1"/>
    <mergeCell ref="G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raw_con</vt:lpstr>
      <vt:lpstr>raw_b3a</vt:lpstr>
      <vt:lpstr>data_analysis</vt:lpstr>
      <vt:lpstr>old_data_old_method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smith</dc:creator>
  <cp:lastModifiedBy>Smith, Nathan</cp:lastModifiedBy>
  <dcterms:created xsi:type="dcterms:W3CDTF">2015-06-05T18:17:20Z</dcterms:created>
  <dcterms:modified xsi:type="dcterms:W3CDTF">2025-07-08T17:26:34Z</dcterms:modified>
</cp:coreProperties>
</file>