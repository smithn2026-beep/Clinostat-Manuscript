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"/>
    </mc:Choice>
  </mc:AlternateContent>
  <xr:revisionPtr revIDLastSave="167" documentId="11_F25DC773A252ABDACC104854419F739E5ADE58EF" xr6:coauthVersionLast="47" xr6:coauthVersionMax="47" xr10:uidLastSave="{03A93994-2AE3-4648-BBF3-9041029C5C6E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F20" i="1"/>
  <c r="H18" i="1"/>
  <c r="H17" i="1"/>
  <c r="I17" i="1" s="1"/>
  <c r="G16" i="1"/>
  <c r="G15" i="1"/>
  <c r="I15" i="1" s="1"/>
  <c r="G14" i="1"/>
  <c r="I14" i="1" s="1"/>
  <c r="G13" i="1"/>
  <c r="G12" i="1"/>
  <c r="I12" i="1" s="1"/>
  <c r="G10" i="1"/>
  <c r="D18" i="1"/>
  <c r="C18" i="1"/>
  <c r="B18" i="1"/>
  <c r="I4" i="1"/>
  <c r="I5" i="1"/>
  <c r="I6" i="1"/>
  <c r="I7" i="1"/>
  <c r="I8" i="1"/>
  <c r="I9" i="1"/>
  <c r="I10" i="1"/>
  <c r="I11" i="1"/>
  <c r="I13" i="1"/>
  <c r="I16" i="1"/>
  <c r="I18" i="1"/>
  <c r="I3" i="1"/>
  <c r="D4" i="1"/>
  <c r="D6" i="1"/>
  <c r="D7" i="1"/>
  <c r="D8" i="1"/>
  <c r="D9" i="1"/>
  <c r="D10" i="1"/>
  <c r="D12" i="1"/>
  <c r="D13" i="1"/>
  <c r="D14" i="1"/>
  <c r="D16" i="1"/>
  <c r="D3" i="1"/>
  <c r="B15" i="1"/>
  <c r="D15" i="1" s="1"/>
  <c r="B11" i="1"/>
  <c r="D11" i="1" s="1"/>
  <c r="C5" i="1"/>
  <c r="D5" i="1" s="1"/>
  <c r="H20" i="1" l="1"/>
  <c r="G20" i="1"/>
  <c r="I20" i="1" s="1"/>
</calcChain>
</file>

<file path=xl/sharedStrings.xml><?xml version="1.0" encoding="utf-8"?>
<sst xmlns="http://schemas.openxmlformats.org/spreadsheetml/2006/main" count="11" uniqueCount="8">
  <si>
    <t>Image_ID</t>
  </si>
  <si>
    <t>L</t>
  </si>
  <si>
    <t>R</t>
  </si>
  <si>
    <t>Control</t>
  </si>
  <si>
    <t>Bacteria</t>
  </si>
  <si>
    <t>L (area under curve)</t>
  </si>
  <si>
    <t>ratio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</si>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</sst>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1" applyNumberFormat="1" applyFont="1"/>
    <xf numFmtId="17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71" workbookViewId="0">
      <selection activeCell="A20" sqref="A20"/>
    </sheetView>
  </sheetViews>
  <sheetFormatPr defaultRowHeight="14.4" x14ac:dyDescent="0.3"/>
  <cols>
    <col min="1" max="1" width="9" bestFit="1" customWidth="1"/>
    <col min="2" max="2" width="18.33203125" bestFit="1" customWidth="1"/>
    <col min="3" max="3" width="10.21875" bestFit="1" customWidth="1"/>
    <col min="6" max="6" width="9" bestFit="1" customWidth="1"/>
  </cols>
  <sheetData>
    <row r="1" spans="1:9" x14ac:dyDescent="0.3">
      <c r="A1" s="1" t="s">
        <v>3</v>
      </c>
      <c r="B1" s="1"/>
      <c r="C1" s="1"/>
      <c r="F1" s="1" t="s">
        <v>4</v>
      </c>
      <c r="G1" s="1"/>
      <c r="H1" s="1"/>
    </row>
    <row r="2" spans="1:9" x14ac:dyDescent="0.3">
      <c r="A2" t="s">
        <v>0</v>
      </c>
      <c r="B2" t="s">
        <v>5</v>
      </c>
      <c r="C2" t="s">
        <v>2</v>
      </c>
      <c r="D2" t="s">
        <v>6</v>
      </c>
      <c r="F2" t="s">
        <v>0</v>
      </c>
      <c r="G2" t="s">
        <v>1</v>
      </c>
      <c r="H2" t="s">
        <v>2</v>
      </c>
      <c r="I2" t="s">
        <v>6</v>
      </c>
    </row>
    <row r="3" spans="1:9" x14ac:dyDescent="0.3">
      <c r="A3">
        <v>1311</v>
      </c>
      <c r="B3" s="2">
        <v>15746</v>
      </c>
      <c r="C3" s="2">
        <v>12573.51</v>
      </c>
      <c r="D3" s="3">
        <f>B3/C3</f>
        <v>1.2523153836915866</v>
      </c>
      <c r="F3">
        <v>1337</v>
      </c>
      <c r="G3">
        <v>25277.43</v>
      </c>
      <c r="H3">
        <v>21826.136999999999</v>
      </c>
      <c r="I3">
        <f>G3/H3</f>
        <v>1.1581266075623002</v>
      </c>
    </row>
    <row r="4" spans="1:9" x14ac:dyDescent="0.3">
      <c r="A4">
        <v>1312</v>
      </c>
      <c r="B4" s="2">
        <v>17442.116000000002</v>
      </c>
      <c r="C4">
        <v>14341.166999999999</v>
      </c>
      <c r="D4" s="3">
        <f t="shared" ref="D4:D16" si="0">B4/C4</f>
        <v>1.2162271034149454</v>
      </c>
      <c r="F4">
        <v>1338</v>
      </c>
      <c r="G4">
        <v>10083.296</v>
      </c>
      <c r="H4">
        <v>12802.338</v>
      </c>
      <c r="I4">
        <f t="shared" ref="I4:I18" si="1">G4/H4</f>
        <v>0.78761363744653523</v>
      </c>
    </row>
    <row r="5" spans="1:9" x14ac:dyDescent="0.3">
      <c r="A5">
        <v>1313</v>
      </c>
      <c r="B5" s="2">
        <v>11533.004000000001</v>
      </c>
      <c r="C5" s="2">
        <f>304.142+10678.711</f>
        <v>10982.852999999999</v>
      </c>
      <c r="D5" s="3">
        <f t="shared" si="0"/>
        <v>1.0500918112989404</v>
      </c>
      <c r="F5">
        <v>1339</v>
      </c>
      <c r="G5">
        <v>10147.125</v>
      </c>
      <c r="H5">
        <v>9124.3169999999991</v>
      </c>
      <c r="I5">
        <f t="shared" si="1"/>
        <v>1.1120969383242605</v>
      </c>
    </row>
    <row r="6" spans="1:9" x14ac:dyDescent="0.3">
      <c r="A6">
        <v>1316</v>
      </c>
      <c r="B6" s="2">
        <v>9196.1959999999999</v>
      </c>
      <c r="C6" s="2">
        <v>13262.974</v>
      </c>
      <c r="D6" s="3">
        <f t="shared" si="0"/>
        <v>0.69337359780694741</v>
      </c>
      <c r="F6">
        <v>1340</v>
      </c>
      <c r="G6">
        <v>18236.207999999999</v>
      </c>
      <c r="H6">
        <v>13082.196</v>
      </c>
      <c r="I6">
        <f t="shared" si="1"/>
        <v>1.393971470844803</v>
      </c>
    </row>
    <row r="7" spans="1:9" x14ac:dyDescent="0.3">
      <c r="A7">
        <v>1317</v>
      </c>
      <c r="B7" s="2">
        <v>13880.116</v>
      </c>
      <c r="C7" s="2">
        <v>7239.2250000000004</v>
      </c>
      <c r="D7" s="3">
        <f t="shared" si="0"/>
        <v>1.917348334939168</v>
      </c>
      <c r="F7">
        <v>1341</v>
      </c>
      <c r="G7">
        <v>13547.630999999999</v>
      </c>
      <c r="H7">
        <v>18626.915000000001</v>
      </c>
      <c r="I7">
        <f t="shared" si="1"/>
        <v>0.72731480226328404</v>
      </c>
    </row>
    <row r="8" spans="1:9" x14ac:dyDescent="0.3">
      <c r="A8">
        <v>1318</v>
      </c>
      <c r="B8" s="2">
        <v>12068.974</v>
      </c>
      <c r="C8" s="2">
        <v>16671.48</v>
      </c>
      <c r="D8" s="3">
        <f t="shared" si="0"/>
        <v>0.72392936919817563</v>
      </c>
      <c r="F8">
        <v>1342</v>
      </c>
      <c r="G8">
        <v>20579.044999999998</v>
      </c>
      <c r="H8">
        <v>25434.228999999999</v>
      </c>
      <c r="I8">
        <f t="shared" si="1"/>
        <v>0.80910826901810151</v>
      </c>
    </row>
    <row r="9" spans="1:9" x14ac:dyDescent="0.3">
      <c r="A9">
        <v>1319</v>
      </c>
      <c r="B9" s="2">
        <v>17563</v>
      </c>
      <c r="C9" s="2">
        <v>13816</v>
      </c>
      <c r="D9" s="3">
        <f t="shared" si="0"/>
        <v>1.2712072958888245</v>
      </c>
      <c r="F9">
        <v>1343</v>
      </c>
      <c r="G9">
        <v>21032.258000000002</v>
      </c>
      <c r="H9">
        <v>21416.915000000001</v>
      </c>
      <c r="I9">
        <f t="shared" si="1"/>
        <v>0.9820395701248289</v>
      </c>
    </row>
    <row r="10" spans="1:9" x14ac:dyDescent="0.3">
      <c r="A10">
        <v>1322</v>
      </c>
      <c r="B10" s="2">
        <v>14371</v>
      </c>
      <c r="C10" s="2">
        <v>20423</v>
      </c>
      <c r="D10" s="3">
        <f t="shared" si="0"/>
        <v>0.70366743377564511</v>
      </c>
      <c r="F10">
        <v>1344</v>
      </c>
      <c r="G10">
        <f>18298.652+89.778</f>
        <v>18388.429999999997</v>
      </c>
      <c r="H10">
        <v>19509.723000000002</v>
      </c>
      <c r="I10">
        <f t="shared" si="1"/>
        <v>0.94252645206700247</v>
      </c>
    </row>
    <row r="11" spans="1:9" x14ac:dyDescent="0.3">
      <c r="A11">
        <v>1323</v>
      </c>
      <c r="B11" s="2">
        <f>13130.983+590.87+926.971</f>
        <v>14648.824000000001</v>
      </c>
      <c r="C11" s="2">
        <v>22054.016</v>
      </c>
      <c r="D11" s="3">
        <f t="shared" si="0"/>
        <v>0.66422478336825364</v>
      </c>
      <c r="F11">
        <v>1345</v>
      </c>
      <c r="G11">
        <v>19092.844000000001</v>
      </c>
      <c r="H11">
        <v>19175.651999999998</v>
      </c>
      <c r="I11">
        <f t="shared" si="1"/>
        <v>0.99568160707130082</v>
      </c>
    </row>
    <row r="12" spans="1:9" x14ac:dyDescent="0.3">
      <c r="A12">
        <v>1326</v>
      </c>
      <c r="B12" s="2">
        <v>28360.714</v>
      </c>
      <c r="C12" s="2">
        <v>32188.420999999998</v>
      </c>
      <c r="D12" s="3">
        <f t="shared" si="0"/>
        <v>0.8810843501767297</v>
      </c>
      <c r="F12">
        <v>1346</v>
      </c>
      <c r="G12">
        <f>14536.924+185.364</f>
        <v>14722.288</v>
      </c>
      <c r="H12">
        <v>17416.288</v>
      </c>
      <c r="I12">
        <f t="shared" si="1"/>
        <v>0.84531721110721181</v>
      </c>
    </row>
    <row r="13" spans="1:9" x14ac:dyDescent="0.3">
      <c r="A13">
        <v>1328</v>
      </c>
      <c r="B13" s="2">
        <v>16501.53</v>
      </c>
      <c r="C13" s="2">
        <v>16759.601999999999</v>
      </c>
      <c r="D13" s="3">
        <f t="shared" si="0"/>
        <v>0.98460154364047547</v>
      </c>
      <c r="F13">
        <v>1347</v>
      </c>
      <c r="G13">
        <f>15832.146+213.485</f>
        <v>16045.631000000001</v>
      </c>
      <c r="H13">
        <v>16692.681</v>
      </c>
      <c r="I13">
        <f t="shared" si="1"/>
        <v>0.96123750283133069</v>
      </c>
    </row>
    <row r="14" spans="1:9" x14ac:dyDescent="0.3">
      <c r="A14">
        <v>1330</v>
      </c>
      <c r="B14" s="2">
        <v>18886.057000000001</v>
      </c>
      <c r="C14" s="2">
        <v>18545.187000000002</v>
      </c>
      <c r="D14" s="3">
        <f t="shared" si="0"/>
        <v>1.0183805102639298</v>
      </c>
      <c r="F14">
        <v>1348</v>
      </c>
      <c r="G14">
        <f>16020.196+246.14</f>
        <v>16266.335999999999</v>
      </c>
      <c r="H14">
        <v>13913.581</v>
      </c>
      <c r="I14">
        <f t="shared" si="1"/>
        <v>1.1690977326397856</v>
      </c>
    </row>
    <row r="15" spans="1:9" x14ac:dyDescent="0.3">
      <c r="A15">
        <v>1331</v>
      </c>
      <c r="B15" s="2">
        <f>18884.016+129.364</f>
        <v>19013.38</v>
      </c>
      <c r="C15" s="2">
        <v>17834.258000000002</v>
      </c>
      <c r="D15" s="3">
        <f t="shared" si="0"/>
        <v>1.0661155625313932</v>
      </c>
      <c r="F15">
        <v>1349</v>
      </c>
      <c r="G15">
        <f>7861.276+981.991</f>
        <v>8843.2669999999998</v>
      </c>
      <c r="H15">
        <v>13829.803</v>
      </c>
      <c r="I15">
        <f t="shared" si="1"/>
        <v>0.63943550027429896</v>
      </c>
    </row>
    <row r="16" spans="1:9" x14ac:dyDescent="0.3">
      <c r="A16">
        <v>1333</v>
      </c>
      <c r="B16" s="2">
        <v>20157.883999999998</v>
      </c>
      <c r="C16" s="2">
        <v>17605.773000000001</v>
      </c>
      <c r="D16">
        <f t="shared" si="0"/>
        <v>1.1449587586980701</v>
      </c>
      <c r="F16">
        <v>1350</v>
      </c>
      <c r="G16">
        <f>13257.075+64.778</f>
        <v>13321.853000000001</v>
      </c>
      <c r="H16">
        <v>19505.016</v>
      </c>
      <c r="I16">
        <f t="shared" si="1"/>
        <v>0.68299626106433342</v>
      </c>
    </row>
    <row r="17" spans="1:9" x14ac:dyDescent="0.3">
      <c r="F17">
        <v>1351</v>
      </c>
      <c r="G17">
        <v>17799.865000000002</v>
      </c>
      <c r="H17">
        <f>2404.77+11257.874</f>
        <v>13662.644</v>
      </c>
      <c r="I17">
        <f t="shared" si="1"/>
        <v>1.3028126181140343</v>
      </c>
    </row>
    <row r="18" spans="1:9" x14ac:dyDescent="0.3">
      <c r="A18" t="s">
        <v>7</v>
      </c>
      <c r="B18">
        <f>AVERAGE(B3:B16)</f>
        <v>16383.485357142858</v>
      </c>
      <c r="C18">
        <f>AVERAGE(C3:C16)</f>
        <v>16735.533285714286</v>
      </c>
      <c r="D18" s="3">
        <f>B18/C18</f>
        <v>0.97896404479252885</v>
      </c>
      <c r="F18">
        <v>1352</v>
      </c>
      <c r="G18">
        <v>15500.137000000001</v>
      </c>
      <c r="H18">
        <f>19.243+19988.844</f>
        <v>20008.087</v>
      </c>
      <c r="I18">
        <f t="shared" si="1"/>
        <v>0.77469360264177189</v>
      </c>
    </row>
    <row r="19" spans="1:9" x14ac:dyDescent="0.3">
      <c r="A19">
        <f>COUNT(A3:A16)</f>
        <v>14</v>
      </c>
    </row>
    <row r="20" spans="1:9" x14ac:dyDescent="0.3">
      <c r="F20">
        <f>COUNT(F3:F18)</f>
        <v>16</v>
      </c>
      <c r="G20">
        <f>AVERAGE(G3:G18)</f>
        <v>16180.22775</v>
      </c>
      <c r="H20">
        <f>AVERAGE(H3:H18)</f>
        <v>17251.657625</v>
      </c>
      <c r="I20">
        <f>G20/H20</f>
        <v>0.93789409120620659</v>
      </c>
    </row>
  </sheetData>
  <mergeCells count="2">
    <mergeCell ref="A1:C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2025-06-18T21:20:54Z</dcterms:modified>
</cp:coreProperties>
</file>